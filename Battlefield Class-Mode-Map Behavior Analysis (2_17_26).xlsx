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i\Desktop\Data Analytics\Battlefield\"/>
    </mc:Choice>
  </mc:AlternateContent>
  <xr:revisionPtr revIDLastSave="0" documentId="8_{40B0004A-D700-497E-ACA7-08A1D3747EE6}" xr6:coauthVersionLast="47" xr6:coauthVersionMax="47" xr10:uidLastSave="{00000000-0000-0000-0000-000000000000}"/>
  <bookViews>
    <workbookView xWindow="-28920" yWindow="-120" windowWidth="29040" windowHeight="15720" activeTab="3" xr2:uid="{737D8689-1508-43BA-8C25-401B3195E740}"/>
  </bookViews>
  <sheets>
    <sheet name="Player_Class_Profile" sheetId="1" r:id="rId1"/>
    <sheet name="Player_Mode_Profile" sheetId="2" r:id="rId2"/>
    <sheet name="Class_Mode_Bridge" sheetId="3" r:id="rId3"/>
    <sheet name="Correlation_Matri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3" l="1"/>
  <c r="C72" i="3"/>
  <c r="D72" i="3"/>
  <c r="E72" i="3"/>
  <c r="F72" i="3"/>
  <c r="A73" i="3"/>
  <c r="C73" i="3"/>
  <c r="D73" i="3"/>
  <c r="E73" i="3"/>
  <c r="F73" i="3"/>
  <c r="A74" i="3"/>
  <c r="C74" i="3"/>
  <c r="D74" i="3"/>
  <c r="E74" i="3"/>
  <c r="F74" i="3"/>
  <c r="A75" i="3"/>
  <c r="C75" i="3"/>
  <c r="D75" i="3"/>
  <c r="E75" i="3"/>
  <c r="F75" i="3"/>
  <c r="A76" i="3"/>
  <c r="C76" i="3"/>
  <c r="D76" i="3"/>
  <c r="E76" i="3"/>
  <c r="F76" i="3"/>
  <c r="A77" i="3"/>
  <c r="C77" i="3"/>
  <c r="D77" i="3"/>
  <c r="E77" i="3"/>
  <c r="F77" i="3"/>
  <c r="A78" i="3"/>
  <c r="C78" i="3"/>
  <c r="D78" i="3"/>
  <c r="E78" i="3"/>
  <c r="F78" i="3"/>
  <c r="A79" i="3"/>
  <c r="C79" i="3"/>
  <c r="D79" i="3"/>
  <c r="E79" i="3"/>
  <c r="F79" i="3"/>
  <c r="A80" i="3"/>
  <c r="C80" i="3"/>
  <c r="D80" i="3"/>
  <c r="E80" i="3"/>
  <c r="F80" i="3"/>
  <c r="A81" i="3"/>
  <c r="C81" i="3"/>
  <c r="D81" i="3"/>
  <c r="E81" i="3"/>
  <c r="F81" i="3"/>
  <c r="A82" i="3"/>
  <c r="C82" i="3"/>
  <c r="D82" i="3"/>
  <c r="E82" i="3"/>
  <c r="F82" i="3"/>
  <c r="A83" i="3"/>
  <c r="C83" i="3"/>
  <c r="D83" i="3"/>
  <c r="E83" i="3"/>
  <c r="F83" i="3"/>
  <c r="A84" i="3"/>
  <c r="C84" i="3"/>
  <c r="D84" i="3"/>
  <c r="E84" i="3"/>
  <c r="F84" i="3"/>
  <c r="A85" i="3"/>
  <c r="C85" i="3"/>
  <c r="D85" i="3"/>
  <c r="E85" i="3"/>
  <c r="F85" i="3"/>
  <c r="A86" i="3"/>
  <c r="C86" i="3"/>
  <c r="D86" i="3"/>
  <c r="E86" i="3"/>
  <c r="F86" i="3"/>
  <c r="A87" i="3"/>
  <c r="C87" i="3"/>
  <c r="D87" i="3"/>
  <c r="E87" i="3"/>
  <c r="F87" i="3"/>
  <c r="A88" i="3"/>
  <c r="C88" i="3"/>
  <c r="D88" i="3"/>
  <c r="E88" i="3"/>
  <c r="F88" i="3"/>
  <c r="A89" i="3"/>
  <c r="C89" i="3"/>
  <c r="D89" i="3"/>
  <c r="E89" i="3"/>
  <c r="F89" i="3"/>
  <c r="A90" i="3"/>
  <c r="C90" i="3"/>
  <c r="D90" i="3"/>
  <c r="E90" i="3"/>
  <c r="F90" i="3"/>
  <c r="A91" i="3"/>
  <c r="C91" i="3"/>
  <c r="D91" i="3"/>
  <c r="E91" i="3"/>
  <c r="F91" i="3"/>
  <c r="A92" i="3"/>
  <c r="C92" i="3"/>
  <c r="D92" i="3"/>
  <c r="E92" i="3"/>
  <c r="F92" i="3"/>
  <c r="A93" i="3"/>
  <c r="C93" i="3"/>
  <c r="D93" i="3"/>
  <c r="E93" i="3"/>
  <c r="F93" i="3"/>
  <c r="A94" i="3"/>
  <c r="C94" i="3"/>
  <c r="D94" i="3"/>
  <c r="E94" i="3"/>
  <c r="F94" i="3"/>
  <c r="A95" i="3"/>
  <c r="C95" i="3"/>
  <c r="D95" i="3"/>
  <c r="E95" i="3"/>
  <c r="F95" i="3"/>
  <c r="A96" i="3"/>
  <c r="C96" i="3"/>
  <c r="D96" i="3"/>
  <c r="E96" i="3"/>
  <c r="F96" i="3"/>
  <c r="A97" i="3"/>
  <c r="C97" i="3"/>
  <c r="D97" i="3"/>
  <c r="E97" i="3"/>
  <c r="F97" i="3"/>
  <c r="A98" i="3"/>
  <c r="C98" i="3"/>
  <c r="D98" i="3"/>
  <c r="E98" i="3"/>
  <c r="F98" i="3"/>
  <c r="A99" i="3"/>
  <c r="C99" i="3"/>
  <c r="D99" i="3"/>
  <c r="E99" i="3"/>
  <c r="F99" i="3"/>
  <c r="A100" i="3"/>
  <c r="C100" i="3"/>
  <c r="D100" i="3"/>
  <c r="E100" i="3"/>
  <c r="F100" i="3"/>
  <c r="A101" i="3"/>
  <c r="C101" i="3"/>
  <c r="D101" i="3"/>
  <c r="E101" i="3"/>
  <c r="F101" i="3"/>
  <c r="H84" i="1"/>
  <c r="P72" i="2"/>
  <c r="Q72" i="2"/>
  <c r="R72" i="2"/>
  <c r="S72" i="2"/>
  <c r="U72" i="2" s="1"/>
  <c r="P73" i="2"/>
  <c r="Q73" i="2"/>
  <c r="R73" i="2"/>
  <c r="S73" i="2"/>
  <c r="P74" i="2"/>
  <c r="Q74" i="2"/>
  <c r="R74" i="2"/>
  <c r="S74" i="2"/>
  <c r="P75" i="2"/>
  <c r="Q75" i="2"/>
  <c r="R75" i="2"/>
  <c r="S75" i="2"/>
  <c r="P76" i="2"/>
  <c r="Q76" i="2"/>
  <c r="R76" i="2"/>
  <c r="S76" i="2"/>
  <c r="P77" i="2"/>
  <c r="Q77" i="2"/>
  <c r="R77" i="2"/>
  <c r="S77" i="2"/>
  <c r="P78" i="2"/>
  <c r="Q78" i="2"/>
  <c r="R78" i="2"/>
  <c r="S78" i="2"/>
  <c r="P79" i="2"/>
  <c r="Q79" i="2"/>
  <c r="R79" i="2"/>
  <c r="U79" i="2" s="1"/>
  <c r="S79" i="2"/>
  <c r="P80" i="2"/>
  <c r="Q80" i="2"/>
  <c r="R80" i="2"/>
  <c r="U80" i="2" s="1"/>
  <c r="S80" i="2"/>
  <c r="P81" i="2"/>
  <c r="Q81" i="2"/>
  <c r="R81" i="2"/>
  <c r="S81" i="2"/>
  <c r="P82" i="2"/>
  <c r="Q82" i="2"/>
  <c r="R82" i="2"/>
  <c r="S82" i="2"/>
  <c r="P83" i="2"/>
  <c r="Q83" i="2"/>
  <c r="R83" i="2"/>
  <c r="S83" i="2"/>
  <c r="P84" i="2"/>
  <c r="Q84" i="2"/>
  <c r="R84" i="2"/>
  <c r="S84" i="2"/>
  <c r="P85" i="2"/>
  <c r="Q85" i="2"/>
  <c r="R85" i="2"/>
  <c r="S85" i="2"/>
  <c r="P86" i="2"/>
  <c r="Q86" i="2"/>
  <c r="R86" i="2"/>
  <c r="U86" i="2" s="1"/>
  <c r="S86" i="2"/>
  <c r="P87" i="2"/>
  <c r="Q87" i="2"/>
  <c r="R87" i="2"/>
  <c r="S87" i="2"/>
  <c r="P88" i="2"/>
  <c r="Q88" i="2"/>
  <c r="R88" i="2"/>
  <c r="S88" i="2"/>
  <c r="P89" i="2"/>
  <c r="Q89" i="2"/>
  <c r="R89" i="2"/>
  <c r="S89" i="2"/>
  <c r="P90" i="2"/>
  <c r="Q90" i="2"/>
  <c r="R90" i="2"/>
  <c r="S90" i="2"/>
  <c r="P91" i="2"/>
  <c r="Q91" i="2"/>
  <c r="R91" i="2"/>
  <c r="S91" i="2"/>
  <c r="U91" i="2" s="1"/>
  <c r="P92" i="2"/>
  <c r="Q92" i="2"/>
  <c r="R92" i="2"/>
  <c r="S92" i="2"/>
  <c r="P93" i="2"/>
  <c r="Q93" i="2"/>
  <c r="R93" i="2"/>
  <c r="S93" i="2"/>
  <c r="P94" i="2"/>
  <c r="Q94" i="2"/>
  <c r="R94" i="2"/>
  <c r="S94" i="2"/>
  <c r="P95" i="2"/>
  <c r="Q95" i="2"/>
  <c r="R95" i="2"/>
  <c r="S95" i="2"/>
  <c r="P96" i="2"/>
  <c r="Q96" i="2"/>
  <c r="R96" i="2"/>
  <c r="S96" i="2"/>
  <c r="P97" i="2"/>
  <c r="Q97" i="2"/>
  <c r="R97" i="2"/>
  <c r="S97" i="2"/>
  <c r="P98" i="2"/>
  <c r="Q98" i="2"/>
  <c r="R98" i="2"/>
  <c r="S98" i="2"/>
  <c r="P99" i="2"/>
  <c r="Q99" i="2"/>
  <c r="R99" i="2"/>
  <c r="S99" i="2"/>
  <c r="P100" i="2"/>
  <c r="Q100" i="2"/>
  <c r="R100" i="2"/>
  <c r="S100" i="2"/>
  <c r="U100" i="2"/>
  <c r="P101" i="2"/>
  <c r="Q101" i="2"/>
  <c r="R101" i="2"/>
  <c r="S101" i="2"/>
  <c r="U10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H72" i="1"/>
  <c r="I72" i="1" a="1"/>
  <c r="I72" i="1" s="1"/>
  <c r="J72" i="1"/>
  <c r="K72" i="1"/>
  <c r="H73" i="1"/>
  <c r="I73" i="1" a="1"/>
  <c r="I73" i="1" s="1"/>
  <c r="J73" i="1"/>
  <c r="K73" i="1"/>
  <c r="H74" i="1"/>
  <c r="I74" i="1" a="1"/>
  <c r="I74" i="1" s="1"/>
  <c r="J74" i="1"/>
  <c r="K74" i="1"/>
  <c r="H75" i="1"/>
  <c r="I75" i="1" a="1"/>
  <c r="I75" i="1" s="1"/>
  <c r="J75" i="1"/>
  <c r="K75" i="1"/>
  <c r="H76" i="1"/>
  <c r="I76" i="1" a="1"/>
  <c r="I76" i="1" s="1"/>
  <c r="J76" i="1"/>
  <c r="K76" i="1"/>
  <c r="H77" i="1"/>
  <c r="I77" i="1" a="1"/>
  <c r="I77" i="1" s="1"/>
  <c r="J77" i="1"/>
  <c r="K77" i="1"/>
  <c r="H78" i="1"/>
  <c r="I78" i="1" a="1"/>
  <c r="I78" i="1" s="1"/>
  <c r="J78" i="1"/>
  <c r="K78" i="1"/>
  <c r="H79" i="1"/>
  <c r="I79" i="1" a="1"/>
  <c r="I79" i="1" s="1"/>
  <c r="J79" i="1"/>
  <c r="K79" i="1"/>
  <c r="H80" i="1"/>
  <c r="I80" i="1" a="1"/>
  <c r="I80" i="1" s="1"/>
  <c r="J80" i="1"/>
  <c r="K80" i="1"/>
  <c r="H81" i="1"/>
  <c r="I81" i="1" a="1"/>
  <c r="I81" i="1" s="1"/>
  <c r="J81" i="1"/>
  <c r="K81" i="1"/>
  <c r="H82" i="1"/>
  <c r="I82" i="1" a="1"/>
  <c r="I82" i="1" s="1"/>
  <c r="J82" i="1"/>
  <c r="K82" i="1"/>
  <c r="H83" i="1"/>
  <c r="I83" i="1" a="1"/>
  <c r="I83" i="1" s="1"/>
  <c r="J83" i="1"/>
  <c r="K83" i="1"/>
  <c r="I84" i="1" a="1"/>
  <c r="I84" i="1" s="1"/>
  <c r="J84" i="1"/>
  <c r="K84" i="1"/>
  <c r="H85" i="1"/>
  <c r="I85" i="1" a="1"/>
  <c r="I85" i="1" s="1"/>
  <c r="J85" i="1"/>
  <c r="K85" i="1"/>
  <c r="H86" i="1"/>
  <c r="I86" i="1" a="1"/>
  <c r="I86" i="1" s="1"/>
  <c r="J86" i="1"/>
  <c r="K86" i="1"/>
  <c r="H87" i="1"/>
  <c r="I87" i="1" a="1"/>
  <c r="I87" i="1" s="1"/>
  <c r="J87" i="1"/>
  <c r="K87" i="1"/>
  <c r="H88" i="1"/>
  <c r="I88" i="1" a="1"/>
  <c r="I88" i="1" s="1"/>
  <c r="J88" i="1"/>
  <c r="K88" i="1"/>
  <c r="H89" i="1"/>
  <c r="I89" i="1" a="1"/>
  <c r="I89" i="1" s="1"/>
  <c r="J89" i="1"/>
  <c r="K89" i="1"/>
  <c r="H90" i="1"/>
  <c r="I90" i="1" a="1"/>
  <c r="I90" i="1" s="1"/>
  <c r="J90" i="1"/>
  <c r="K90" i="1"/>
  <c r="H91" i="1"/>
  <c r="I91" i="1" a="1"/>
  <c r="I91" i="1" s="1"/>
  <c r="J91" i="1"/>
  <c r="K91" i="1"/>
  <c r="H92" i="1"/>
  <c r="I92" i="1" a="1"/>
  <c r="I92" i="1" s="1"/>
  <c r="J92" i="1"/>
  <c r="K92" i="1"/>
  <c r="H93" i="1"/>
  <c r="I93" i="1" a="1"/>
  <c r="I93" i="1" s="1"/>
  <c r="J93" i="1"/>
  <c r="K93" i="1"/>
  <c r="H94" i="1"/>
  <c r="I94" i="1" a="1"/>
  <c r="I94" i="1" s="1"/>
  <c r="J94" i="1"/>
  <c r="K94" i="1"/>
  <c r="H95" i="1"/>
  <c r="I95" i="1" a="1"/>
  <c r="I95" i="1" s="1"/>
  <c r="J95" i="1"/>
  <c r="K95" i="1"/>
  <c r="H96" i="1"/>
  <c r="I96" i="1" a="1"/>
  <c r="I96" i="1" s="1"/>
  <c r="J96" i="1"/>
  <c r="K96" i="1"/>
  <c r="H97" i="1"/>
  <c r="I97" i="1" a="1"/>
  <c r="I97" i="1" s="1"/>
  <c r="J97" i="1"/>
  <c r="K97" i="1"/>
  <c r="H98" i="1"/>
  <c r="I98" i="1" a="1"/>
  <c r="I98" i="1" s="1"/>
  <c r="J98" i="1"/>
  <c r="K98" i="1"/>
  <c r="H99" i="1"/>
  <c r="I99" i="1" a="1"/>
  <c r="I99" i="1" s="1"/>
  <c r="J99" i="1"/>
  <c r="K99" i="1"/>
  <c r="H100" i="1"/>
  <c r="I100" i="1" a="1"/>
  <c r="I100" i="1" s="1"/>
  <c r="J100" i="1"/>
  <c r="K100" i="1"/>
  <c r="H101" i="1"/>
  <c r="I101" i="1" a="1"/>
  <c r="I101" i="1" s="1"/>
  <c r="J101" i="1"/>
  <c r="K101" i="1"/>
  <c r="C62" i="3"/>
  <c r="D62" i="3"/>
  <c r="E62" i="3"/>
  <c r="F62" i="3"/>
  <c r="H62" i="3"/>
  <c r="J62" i="3"/>
  <c r="C63" i="3"/>
  <c r="D63" i="3"/>
  <c r="E63" i="3"/>
  <c r="F63" i="3"/>
  <c r="C64" i="3"/>
  <c r="D64" i="3"/>
  <c r="E64" i="3"/>
  <c r="F64" i="3"/>
  <c r="H64" i="3"/>
  <c r="J64" i="3"/>
  <c r="C65" i="3"/>
  <c r="D65" i="3"/>
  <c r="E65" i="3"/>
  <c r="F65" i="3"/>
  <c r="C66" i="3"/>
  <c r="D66" i="3"/>
  <c r="E66" i="3"/>
  <c r="F66" i="3"/>
  <c r="C67" i="3"/>
  <c r="D67" i="3"/>
  <c r="E67" i="3"/>
  <c r="F67" i="3"/>
  <c r="C68" i="3"/>
  <c r="D68" i="3"/>
  <c r="E68" i="3"/>
  <c r="F68" i="3"/>
  <c r="G68" i="3"/>
  <c r="H68" i="3"/>
  <c r="J68" i="3"/>
  <c r="C69" i="3"/>
  <c r="D69" i="3"/>
  <c r="E69" i="3"/>
  <c r="F69" i="3"/>
  <c r="H69" i="3"/>
  <c r="C70" i="3"/>
  <c r="D70" i="3"/>
  <c r="E70" i="3"/>
  <c r="F70" i="3"/>
  <c r="H70" i="3"/>
  <c r="J70" i="3"/>
  <c r="C71" i="3"/>
  <c r="D71" i="3"/>
  <c r="E71" i="3"/>
  <c r="F71" i="3"/>
  <c r="A62" i="3"/>
  <c r="G62" i="3" s="1"/>
  <c r="A63" i="3"/>
  <c r="G63" i="3" s="1"/>
  <c r="A64" i="3"/>
  <c r="I64" i="3" s="1"/>
  <c r="A65" i="3"/>
  <c r="G65" i="3" s="1"/>
  <c r="A66" i="3"/>
  <c r="G66" i="3" s="1"/>
  <c r="A67" i="3"/>
  <c r="I67" i="3" s="1"/>
  <c r="A68" i="3"/>
  <c r="I68" i="3" s="1"/>
  <c r="A69" i="3"/>
  <c r="G69" i="3" s="1"/>
  <c r="A70" i="3"/>
  <c r="I70" i="3" s="1"/>
  <c r="A71" i="3"/>
  <c r="G71" i="3" s="1"/>
  <c r="C52" i="3"/>
  <c r="D52" i="3"/>
  <c r="E52" i="3"/>
  <c r="F52" i="3"/>
  <c r="G52" i="3"/>
  <c r="H52" i="3"/>
  <c r="J52" i="3"/>
  <c r="C53" i="3"/>
  <c r="D53" i="3"/>
  <c r="E53" i="3"/>
  <c r="F53" i="3"/>
  <c r="H53" i="3"/>
  <c r="I53" i="3"/>
  <c r="J53" i="3"/>
  <c r="C54" i="3"/>
  <c r="D54" i="3"/>
  <c r="E54" i="3"/>
  <c r="F54" i="3"/>
  <c r="J54" i="3"/>
  <c r="C55" i="3"/>
  <c r="D55" i="3"/>
  <c r="E55" i="3"/>
  <c r="F55" i="3"/>
  <c r="H55" i="3"/>
  <c r="J55" i="3"/>
  <c r="C56" i="3"/>
  <c r="D56" i="3"/>
  <c r="E56" i="3"/>
  <c r="F56" i="3"/>
  <c r="H56" i="3"/>
  <c r="I56" i="3"/>
  <c r="J56" i="3"/>
  <c r="C57" i="3"/>
  <c r="D57" i="3"/>
  <c r="E57" i="3"/>
  <c r="F57" i="3"/>
  <c r="J57" i="3"/>
  <c r="C58" i="3"/>
  <c r="D58" i="3"/>
  <c r="E58" i="3"/>
  <c r="F58" i="3"/>
  <c r="H58" i="3"/>
  <c r="J58" i="3"/>
  <c r="C59" i="3"/>
  <c r="D59" i="3"/>
  <c r="E59" i="3"/>
  <c r="F59" i="3"/>
  <c r="C60" i="3"/>
  <c r="D60" i="3"/>
  <c r="E60" i="3"/>
  <c r="F60" i="3"/>
  <c r="I60" i="3"/>
  <c r="J60" i="3"/>
  <c r="C61" i="3"/>
  <c r="D61" i="3"/>
  <c r="E61" i="3"/>
  <c r="F61" i="3"/>
  <c r="H61" i="3"/>
  <c r="J61" i="3"/>
  <c r="A52" i="3"/>
  <c r="I52" i="3" s="1"/>
  <c r="A53" i="3"/>
  <c r="G53" i="3" s="1"/>
  <c r="A54" i="3"/>
  <c r="G54" i="3" s="1"/>
  <c r="A55" i="3"/>
  <c r="G55" i="3" s="1"/>
  <c r="A56" i="3"/>
  <c r="G56" i="3" s="1"/>
  <c r="A57" i="3"/>
  <c r="G57" i="3" s="1"/>
  <c r="A58" i="3"/>
  <c r="G58" i="3" s="1"/>
  <c r="A59" i="3"/>
  <c r="G59" i="3" s="1"/>
  <c r="A60" i="3"/>
  <c r="G60" i="3" s="1"/>
  <c r="A61" i="3"/>
  <c r="G61" i="3" s="1"/>
  <c r="P68" i="2"/>
  <c r="U68" i="2" s="1"/>
  <c r="P62" i="2"/>
  <c r="Q62" i="2"/>
  <c r="R62" i="2"/>
  <c r="S62" i="2"/>
  <c r="T62" i="2"/>
  <c r="U62" i="2"/>
  <c r="P63" i="2"/>
  <c r="Q63" i="2"/>
  <c r="R63" i="2"/>
  <c r="S63" i="2"/>
  <c r="T63" i="2"/>
  <c r="U63" i="2"/>
  <c r="P64" i="2"/>
  <c r="Q64" i="2"/>
  <c r="R64" i="2"/>
  <c r="S64" i="2"/>
  <c r="T64" i="2"/>
  <c r="U64" i="2"/>
  <c r="P65" i="2"/>
  <c r="Q65" i="2"/>
  <c r="R65" i="2"/>
  <c r="S65" i="2"/>
  <c r="T65" i="2"/>
  <c r="U65" i="2"/>
  <c r="P66" i="2"/>
  <c r="Q66" i="2"/>
  <c r="R66" i="2"/>
  <c r="S66" i="2"/>
  <c r="T66" i="2"/>
  <c r="U66" i="2"/>
  <c r="P67" i="2"/>
  <c r="Q67" i="2"/>
  <c r="R67" i="2"/>
  <c r="S67" i="2"/>
  <c r="T67" i="2" s="1"/>
  <c r="U67" i="2"/>
  <c r="Q68" i="2"/>
  <c r="R68" i="2"/>
  <c r="S68" i="2"/>
  <c r="P69" i="2"/>
  <c r="Q69" i="2"/>
  <c r="R69" i="2"/>
  <c r="S69" i="2"/>
  <c r="T69" i="2"/>
  <c r="U69" i="2"/>
  <c r="P70" i="2"/>
  <c r="Q70" i="2"/>
  <c r="R70" i="2"/>
  <c r="S70" i="2"/>
  <c r="T70" i="2" s="1"/>
  <c r="U70" i="2"/>
  <c r="P71" i="2"/>
  <c r="Q71" i="2"/>
  <c r="R71" i="2"/>
  <c r="S71" i="2"/>
  <c r="T71" i="2"/>
  <c r="U71" i="2"/>
  <c r="A62" i="2"/>
  <c r="A63" i="2"/>
  <c r="A64" i="2"/>
  <c r="A65" i="2"/>
  <c r="A66" i="2"/>
  <c r="A67" i="2"/>
  <c r="A68" i="2"/>
  <c r="A69" i="2"/>
  <c r="A70" i="2"/>
  <c r="A71" i="2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I2" i="1" a="1"/>
  <c r="I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K71" i="1"/>
  <c r="K62" i="1"/>
  <c r="K63" i="1"/>
  <c r="K64" i="1"/>
  <c r="K65" i="1"/>
  <c r="K66" i="1"/>
  <c r="K67" i="1"/>
  <c r="K68" i="1"/>
  <c r="K69" i="1"/>
  <c r="K70" i="1"/>
  <c r="P52" i="2"/>
  <c r="Q52" i="2"/>
  <c r="R52" i="2"/>
  <c r="S52" i="2"/>
  <c r="P53" i="2"/>
  <c r="Q53" i="2"/>
  <c r="R53" i="2"/>
  <c r="S53" i="2"/>
  <c r="P54" i="2"/>
  <c r="Q54" i="2"/>
  <c r="R54" i="2"/>
  <c r="S54" i="2"/>
  <c r="P55" i="2"/>
  <c r="Q55" i="2"/>
  <c r="R55" i="2"/>
  <c r="S55" i="2"/>
  <c r="P56" i="2"/>
  <c r="Q56" i="2"/>
  <c r="R56" i="2"/>
  <c r="S56" i="2"/>
  <c r="T56" i="2" s="1"/>
  <c r="U56" i="2"/>
  <c r="P57" i="2"/>
  <c r="Q57" i="2"/>
  <c r="R57" i="2"/>
  <c r="S57" i="2"/>
  <c r="P58" i="2"/>
  <c r="Q58" i="2"/>
  <c r="R58" i="2"/>
  <c r="S58" i="2"/>
  <c r="P59" i="2"/>
  <c r="Q59" i="2"/>
  <c r="R59" i="2"/>
  <c r="S59" i="2"/>
  <c r="P60" i="2"/>
  <c r="Q60" i="2"/>
  <c r="R60" i="2"/>
  <c r="S60" i="2"/>
  <c r="P61" i="2"/>
  <c r="Q61" i="2"/>
  <c r="R61" i="2"/>
  <c r="S61" i="2"/>
  <c r="A52" i="2"/>
  <c r="A53" i="2"/>
  <c r="A54" i="2"/>
  <c r="A55" i="2"/>
  <c r="A56" i="2"/>
  <c r="A57" i="2"/>
  <c r="A58" i="2"/>
  <c r="A59" i="2"/>
  <c r="A60" i="2"/>
  <c r="A61" i="2"/>
  <c r="A39" i="3"/>
  <c r="G39" i="3" s="1"/>
  <c r="C39" i="3"/>
  <c r="D39" i="3"/>
  <c r="E39" i="3"/>
  <c r="F39" i="3"/>
  <c r="H39" i="3"/>
  <c r="A40" i="3"/>
  <c r="H40" i="3" s="1"/>
  <c r="C40" i="3"/>
  <c r="D40" i="3"/>
  <c r="E40" i="3"/>
  <c r="F40" i="3"/>
  <c r="G40" i="3"/>
  <c r="I40" i="3"/>
  <c r="A41" i="3"/>
  <c r="G41" i="3" s="1"/>
  <c r="C41" i="3"/>
  <c r="D41" i="3"/>
  <c r="E41" i="3"/>
  <c r="F41" i="3"/>
  <c r="A42" i="3"/>
  <c r="G42" i="3" s="1"/>
  <c r="C42" i="3"/>
  <c r="D42" i="3"/>
  <c r="E42" i="3"/>
  <c r="F42" i="3"/>
  <c r="H42" i="3"/>
  <c r="I42" i="3"/>
  <c r="A43" i="3"/>
  <c r="G43" i="3" s="1"/>
  <c r="C43" i="3"/>
  <c r="D43" i="3"/>
  <c r="E43" i="3"/>
  <c r="F43" i="3"/>
  <c r="H43" i="3"/>
  <c r="A44" i="3"/>
  <c r="H44" i="3" s="1"/>
  <c r="C44" i="3"/>
  <c r="D44" i="3"/>
  <c r="E44" i="3"/>
  <c r="F44" i="3"/>
  <c r="G44" i="3"/>
  <c r="I44" i="3"/>
  <c r="A45" i="3"/>
  <c r="G45" i="3" s="1"/>
  <c r="C45" i="3"/>
  <c r="D45" i="3"/>
  <c r="E45" i="3"/>
  <c r="F45" i="3"/>
  <c r="A46" i="3"/>
  <c r="G46" i="3" s="1"/>
  <c r="C46" i="3"/>
  <c r="D46" i="3"/>
  <c r="E46" i="3"/>
  <c r="F46" i="3"/>
  <c r="H46" i="3"/>
  <c r="I46" i="3"/>
  <c r="A47" i="3"/>
  <c r="G47" i="3" s="1"/>
  <c r="C47" i="3"/>
  <c r="D47" i="3"/>
  <c r="E47" i="3"/>
  <c r="F47" i="3"/>
  <c r="H47" i="3"/>
  <c r="A48" i="3"/>
  <c r="H48" i="3" s="1"/>
  <c r="C48" i="3"/>
  <c r="D48" i="3"/>
  <c r="E48" i="3"/>
  <c r="F48" i="3"/>
  <c r="G48" i="3"/>
  <c r="I48" i="3"/>
  <c r="A49" i="3"/>
  <c r="G49" i="3" s="1"/>
  <c r="C49" i="3"/>
  <c r="D49" i="3"/>
  <c r="E49" i="3"/>
  <c r="F49" i="3"/>
  <c r="A50" i="3"/>
  <c r="G50" i="3" s="1"/>
  <c r="C50" i="3"/>
  <c r="D50" i="3"/>
  <c r="E50" i="3"/>
  <c r="F50" i="3"/>
  <c r="H50" i="3"/>
  <c r="I50" i="3"/>
  <c r="A51" i="3"/>
  <c r="G51" i="3" s="1"/>
  <c r="C51" i="3"/>
  <c r="D51" i="3"/>
  <c r="E51" i="3"/>
  <c r="F51" i="3"/>
  <c r="H51" i="3"/>
  <c r="C32" i="3"/>
  <c r="D32" i="3"/>
  <c r="E32" i="3"/>
  <c r="F32" i="3"/>
  <c r="H32" i="3"/>
  <c r="J32" i="3"/>
  <c r="C33" i="3"/>
  <c r="D33" i="3"/>
  <c r="E33" i="3"/>
  <c r="F33" i="3"/>
  <c r="H33" i="3"/>
  <c r="C34" i="3"/>
  <c r="D34" i="3"/>
  <c r="E34" i="3"/>
  <c r="F34" i="3"/>
  <c r="H34" i="3"/>
  <c r="C35" i="3"/>
  <c r="D35" i="3"/>
  <c r="E35" i="3"/>
  <c r="F35" i="3"/>
  <c r="H35" i="3"/>
  <c r="J35" i="3"/>
  <c r="C36" i="3"/>
  <c r="D36" i="3"/>
  <c r="E36" i="3"/>
  <c r="F36" i="3"/>
  <c r="C37" i="3"/>
  <c r="D37" i="3"/>
  <c r="E37" i="3"/>
  <c r="F37" i="3"/>
  <c r="H37" i="3"/>
  <c r="C38" i="3"/>
  <c r="D38" i="3"/>
  <c r="E38" i="3"/>
  <c r="F38" i="3"/>
  <c r="P42" i="2"/>
  <c r="Q42" i="2"/>
  <c r="R42" i="2"/>
  <c r="S42" i="2"/>
  <c r="P43" i="2"/>
  <c r="Q43" i="2"/>
  <c r="R43" i="2"/>
  <c r="S43" i="2"/>
  <c r="P44" i="2"/>
  <c r="Q44" i="2"/>
  <c r="R44" i="2"/>
  <c r="S44" i="2"/>
  <c r="P45" i="2"/>
  <c r="Q45" i="2"/>
  <c r="R45" i="2"/>
  <c r="S45" i="2"/>
  <c r="P46" i="2"/>
  <c r="Q46" i="2"/>
  <c r="R46" i="2"/>
  <c r="S46" i="2"/>
  <c r="P47" i="2"/>
  <c r="Q47" i="2"/>
  <c r="R47" i="2"/>
  <c r="S47" i="2"/>
  <c r="T47" i="2"/>
  <c r="U47" i="2"/>
  <c r="P48" i="2"/>
  <c r="Q48" i="2"/>
  <c r="R48" i="2"/>
  <c r="S48" i="2"/>
  <c r="P49" i="2"/>
  <c r="Q49" i="2"/>
  <c r="R49" i="2"/>
  <c r="S49" i="2"/>
  <c r="P50" i="2"/>
  <c r="Q50" i="2"/>
  <c r="R50" i="2"/>
  <c r="S50" i="2"/>
  <c r="P51" i="2"/>
  <c r="Q51" i="2"/>
  <c r="R51" i="2"/>
  <c r="S51" i="2"/>
  <c r="T51" i="2"/>
  <c r="U51" i="2"/>
  <c r="A42" i="2"/>
  <c r="A43" i="2"/>
  <c r="A44" i="2"/>
  <c r="A45" i="2"/>
  <c r="A46" i="2"/>
  <c r="A47" i="2"/>
  <c r="A48" i="2"/>
  <c r="A49" i="2"/>
  <c r="A50" i="2"/>
  <c r="A51" i="2"/>
  <c r="H43" i="1"/>
  <c r="H44" i="1"/>
  <c r="H45" i="1"/>
  <c r="H46" i="1"/>
  <c r="H47" i="1"/>
  <c r="H48" i="1"/>
  <c r="H49" i="1"/>
  <c r="H50" i="1"/>
  <c r="H51" i="1"/>
  <c r="K43" i="1"/>
  <c r="K44" i="1"/>
  <c r="K45" i="1"/>
  <c r="K46" i="1"/>
  <c r="K47" i="1"/>
  <c r="K48" i="1"/>
  <c r="K49" i="1"/>
  <c r="K50" i="1"/>
  <c r="K51" i="1"/>
  <c r="P40" i="2"/>
  <c r="Q40" i="2"/>
  <c r="R40" i="2"/>
  <c r="S40" i="2"/>
  <c r="P41" i="2"/>
  <c r="Q41" i="2"/>
  <c r="R41" i="2"/>
  <c r="S41" i="2"/>
  <c r="P32" i="2"/>
  <c r="Q32" i="2"/>
  <c r="R32" i="2"/>
  <c r="S32" i="2"/>
  <c r="P33" i="2"/>
  <c r="Q33" i="2"/>
  <c r="R33" i="2"/>
  <c r="S33" i="2"/>
  <c r="P34" i="2"/>
  <c r="Q34" i="2"/>
  <c r="R34" i="2"/>
  <c r="S34" i="2"/>
  <c r="P35" i="2"/>
  <c r="Q35" i="2"/>
  <c r="R35" i="2"/>
  <c r="S35" i="2"/>
  <c r="P36" i="2"/>
  <c r="Q36" i="2"/>
  <c r="R36" i="2"/>
  <c r="S36" i="2"/>
  <c r="P37" i="2"/>
  <c r="Q37" i="2"/>
  <c r="R37" i="2"/>
  <c r="S37" i="2"/>
  <c r="T37" i="2"/>
  <c r="U37" i="2"/>
  <c r="P38" i="2"/>
  <c r="Q38" i="2"/>
  <c r="R38" i="2"/>
  <c r="S38" i="2"/>
  <c r="P39" i="2"/>
  <c r="Q39" i="2"/>
  <c r="R39" i="2"/>
  <c r="S39" i="2"/>
  <c r="A39" i="2"/>
  <c r="A40" i="2"/>
  <c r="A41" i="2"/>
  <c r="H38" i="1"/>
  <c r="K41" i="1"/>
  <c r="K32" i="1"/>
  <c r="K33" i="1"/>
  <c r="K34" i="1"/>
  <c r="K35" i="1"/>
  <c r="K36" i="1"/>
  <c r="K37" i="1"/>
  <c r="K38" i="1"/>
  <c r="K39" i="1"/>
  <c r="K40" i="1"/>
  <c r="P25" i="2"/>
  <c r="Q25" i="2"/>
  <c r="R25" i="2"/>
  <c r="S25" i="2"/>
  <c r="P26" i="2"/>
  <c r="Q26" i="2"/>
  <c r="R26" i="2"/>
  <c r="S26" i="2"/>
  <c r="P27" i="2"/>
  <c r="Q27" i="2"/>
  <c r="R27" i="2"/>
  <c r="S27" i="2"/>
  <c r="P28" i="2"/>
  <c r="Q28" i="2"/>
  <c r="R28" i="2"/>
  <c r="S28" i="2"/>
  <c r="P29" i="2"/>
  <c r="Q29" i="2"/>
  <c r="R29" i="2"/>
  <c r="S29" i="2"/>
  <c r="P30" i="2"/>
  <c r="Q30" i="2"/>
  <c r="R30" i="2"/>
  <c r="S30" i="2"/>
  <c r="T30" i="2"/>
  <c r="U30" i="2"/>
  <c r="P31" i="2"/>
  <c r="Q31" i="2"/>
  <c r="R31" i="2"/>
  <c r="S31" i="2"/>
  <c r="P24" i="2"/>
  <c r="Q24" i="2"/>
  <c r="R24" i="2"/>
  <c r="S24" i="2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H30" i="3"/>
  <c r="J30" i="3"/>
  <c r="C31" i="3"/>
  <c r="D31" i="3"/>
  <c r="E31" i="3"/>
  <c r="F31" i="3"/>
  <c r="J5" i="3"/>
  <c r="J8" i="3"/>
  <c r="J11" i="3"/>
  <c r="J20" i="3"/>
  <c r="J23" i="3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" i="2"/>
  <c r="C3" i="3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F2" i="3"/>
  <c r="E2" i="3"/>
  <c r="D2" i="3"/>
  <c r="C2" i="3"/>
  <c r="A5" i="3"/>
  <c r="G5" i="3" s="1"/>
  <c r="A17" i="3"/>
  <c r="G17" i="3" s="1"/>
  <c r="B2" i="3" a="1"/>
  <c r="P2" i="2"/>
  <c r="Q2" i="2"/>
  <c r="R2" i="2"/>
  <c r="S2" i="2"/>
  <c r="P3" i="2"/>
  <c r="U3" i="2" s="1"/>
  <c r="Q3" i="2"/>
  <c r="R3" i="2"/>
  <c r="S3" i="2"/>
  <c r="P4" i="2"/>
  <c r="Q4" i="2"/>
  <c r="R4" i="2"/>
  <c r="S4" i="2"/>
  <c r="P5" i="2"/>
  <c r="Q5" i="2"/>
  <c r="R5" i="2"/>
  <c r="S5" i="2"/>
  <c r="P6" i="2"/>
  <c r="U6" i="2" s="1"/>
  <c r="Q6" i="2"/>
  <c r="R6" i="2"/>
  <c r="S6" i="2"/>
  <c r="P7" i="2"/>
  <c r="Q7" i="2"/>
  <c r="R7" i="2"/>
  <c r="S7" i="2"/>
  <c r="U7" i="2" s="1"/>
  <c r="P8" i="2"/>
  <c r="U8" i="2" s="1"/>
  <c r="Q8" i="2"/>
  <c r="R8" i="2"/>
  <c r="S8" i="2"/>
  <c r="P9" i="2"/>
  <c r="U9" i="2" s="1"/>
  <c r="Q9" i="2"/>
  <c r="R9" i="2"/>
  <c r="S9" i="2"/>
  <c r="P10" i="2"/>
  <c r="Q10" i="2"/>
  <c r="R10" i="2"/>
  <c r="S10" i="2"/>
  <c r="P11" i="2"/>
  <c r="U11" i="2" s="1"/>
  <c r="Q11" i="2"/>
  <c r="R11" i="2"/>
  <c r="S11" i="2"/>
  <c r="P12" i="2"/>
  <c r="Q12" i="2"/>
  <c r="R12" i="2"/>
  <c r="S12" i="2"/>
  <c r="P13" i="2"/>
  <c r="Q13" i="2"/>
  <c r="R13" i="2"/>
  <c r="S13" i="2"/>
  <c r="P14" i="2"/>
  <c r="U14" i="2" s="1"/>
  <c r="Q14" i="2"/>
  <c r="R14" i="2"/>
  <c r="S14" i="2"/>
  <c r="P15" i="2"/>
  <c r="Q15" i="2"/>
  <c r="R15" i="2"/>
  <c r="S15" i="2"/>
  <c r="P16" i="2"/>
  <c r="Q16" i="2"/>
  <c r="R16" i="2"/>
  <c r="S16" i="2"/>
  <c r="P17" i="2"/>
  <c r="Q17" i="2"/>
  <c r="R17" i="2"/>
  <c r="S17" i="2"/>
  <c r="P18" i="2"/>
  <c r="Q18" i="2"/>
  <c r="R18" i="2"/>
  <c r="S18" i="2"/>
  <c r="P19" i="2"/>
  <c r="Q19" i="2"/>
  <c r="R19" i="2"/>
  <c r="S19" i="2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H14" i="1"/>
  <c r="H15" i="1"/>
  <c r="H16" i="1"/>
  <c r="H17" i="1"/>
  <c r="H18" i="1"/>
  <c r="H19" i="1"/>
  <c r="H20" i="1"/>
  <c r="H21" i="1"/>
  <c r="H22" i="1"/>
  <c r="H23" i="1"/>
  <c r="A3" i="2"/>
  <c r="A3" i="3" s="1"/>
  <c r="G3" i="3" s="1"/>
  <c r="A4" i="2"/>
  <c r="A4" i="3" s="1"/>
  <c r="G4" i="3" s="1"/>
  <c r="A5" i="2"/>
  <c r="A6" i="2"/>
  <c r="A6" i="3" s="1"/>
  <c r="G6" i="3" s="1"/>
  <c r="A7" i="2"/>
  <c r="A7" i="3" s="1"/>
  <c r="G7" i="3" s="1"/>
  <c r="A8" i="2"/>
  <c r="A8" i="3" s="1"/>
  <c r="G8" i="3" s="1"/>
  <c r="A9" i="2"/>
  <c r="A9" i="3" s="1"/>
  <c r="G9" i="3" s="1"/>
  <c r="A10" i="2"/>
  <c r="A10" i="3" s="1"/>
  <c r="G10" i="3" s="1"/>
  <c r="A11" i="2"/>
  <c r="A11" i="3" s="1"/>
  <c r="G11" i="3" s="1"/>
  <c r="A12" i="2"/>
  <c r="A12" i="3" s="1"/>
  <c r="G12" i="3" s="1"/>
  <c r="A13" i="2"/>
  <c r="A13" i="3" s="1"/>
  <c r="G13" i="3" s="1"/>
  <c r="A14" i="2"/>
  <c r="A14" i="3" s="1"/>
  <c r="G14" i="3" s="1"/>
  <c r="A15" i="2"/>
  <c r="A15" i="3" s="1"/>
  <c r="G15" i="3" s="1"/>
  <c r="A16" i="2"/>
  <c r="A16" i="3" s="1"/>
  <c r="G16" i="3" s="1"/>
  <c r="A17" i="2"/>
  <c r="A18" i="2"/>
  <c r="A18" i="3" s="1"/>
  <c r="G18" i="3" s="1"/>
  <c r="A19" i="2"/>
  <c r="A19" i="3" s="1"/>
  <c r="G19" i="3" s="1"/>
  <c r="A20" i="2"/>
  <c r="A20" i="3" s="1"/>
  <c r="G20" i="3" s="1"/>
  <c r="A21" i="2"/>
  <c r="A21" i="3" s="1"/>
  <c r="G21" i="3" s="1"/>
  <c r="A22" i="2"/>
  <c r="A22" i="3" s="1"/>
  <c r="G22" i="3" s="1"/>
  <c r="A23" i="2"/>
  <c r="A23" i="3" s="1"/>
  <c r="G23" i="3" s="1"/>
  <c r="A24" i="2"/>
  <c r="A24" i="3" s="1"/>
  <c r="A25" i="2"/>
  <c r="A25" i="3" s="1"/>
  <c r="A26" i="2"/>
  <c r="A26" i="3" s="1"/>
  <c r="A27" i="2"/>
  <c r="A27" i="3" s="1"/>
  <c r="A28" i="2"/>
  <c r="A28" i="3" s="1"/>
  <c r="A29" i="2"/>
  <c r="A29" i="3" s="1"/>
  <c r="A30" i="2"/>
  <c r="A30" i="3" s="1"/>
  <c r="G30" i="3" s="1"/>
  <c r="A31" i="2"/>
  <c r="A31" i="3" s="1"/>
  <c r="A32" i="2"/>
  <c r="A32" i="3" s="1"/>
  <c r="I32" i="3" s="1"/>
  <c r="A33" i="2"/>
  <c r="A33" i="3" s="1"/>
  <c r="G33" i="3" s="1"/>
  <c r="A34" i="2"/>
  <c r="A34" i="3" s="1"/>
  <c r="G34" i="3" s="1"/>
  <c r="A35" i="2"/>
  <c r="A35" i="3" s="1"/>
  <c r="I35" i="3" s="1"/>
  <c r="A36" i="2"/>
  <c r="A36" i="3" s="1"/>
  <c r="G36" i="3" s="1"/>
  <c r="A37" i="2"/>
  <c r="A37" i="3" s="1"/>
  <c r="G37" i="3" s="1"/>
  <c r="A38" i="2"/>
  <c r="A38" i="3" s="1"/>
  <c r="I38" i="3" s="1"/>
  <c r="A2" i="2"/>
  <c r="A2" i="3" s="1"/>
  <c r="H2" i="3" s="1"/>
  <c r="B2" i="2" a="1"/>
  <c r="B2" i="2" s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H71" i="1"/>
  <c r="H70" i="1"/>
  <c r="H69" i="1"/>
  <c r="H68" i="1"/>
  <c r="H67" i="1"/>
  <c r="H66" i="1"/>
  <c r="H65" i="1"/>
  <c r="H64" i="1"/>
  <c r="H63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42" i="1"/>
  <c r="H42" i="1"/>
  <c r="H41" i="1"/>
  <c r="H40" i="1"/>
  <c r="H39" i="1"/>
  <c r="H37" i="1"/>
  <c r="H36" i="1"/>
  <c r="H35" i="1"/>
  <c r="H34" i="1"/>
  <c r="H33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K22" i="1"/>
  <c r="K21" i="1"/>
  <c r="K20" i="1"/>
  <c r="K19" i="1"/>
  <c r="K18" i="1"/>
  <c r="K17" i="1"/>
  <c r="K16" i="1"/>
  <c r="K15" i="1"/>
  <c r="K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  <c r="B2" i="1" a="1"/>
  <c r="J45" i="3" l="1"/>
  <c r="H67" i="3"/>
  <c r="J41" i="3"/>
  <c r="J59" i="3"/>
  <c r="H8" i="3"/>
  <c r="G38" i="3"/>
  <c r="G35" i="3"/>
  <c r="G32" i="3"/>
  <c r="I49" i="3"/>
  <c r="I45" i="3"/>
  <c r="I41" i="3"/>
  <c r="I59" i="3"/>
  <c r="G70" i="3"/>
  <c r="G67" i="3"/>
  <c r="G64" i="3"/>
  <c r="J38" i="3"/>
  <c r="H38" i="3"/>
  <c r="J49" i="3"/>
  <c r="J36" i="3"/>
  <c r="J33" i="3"/>
  <c r="H49" i="3"/>
  <c r="H45" i="3"/>
  <c r="H41" i="3"/>
  <c r="H59" i="3"/>
  <c r="J71" i="3"/>
  <c r="J65" i="3"/>
  <c r="H23" i="3"/>
  <c r="H5" i="3"/>
  <c r="I36" i="3"/>
  <c r="I33" i="3"/>
  <c r="J50" i="3"/>
  <c r="J46" i="3"/>
  <c r="J42" i="3"/>
  <c r="I71" i="3"/>
  <c r="I65" i="3"/>
  <c r="I62" i="3"/>
  <c r="H36" i="3"/>
  <c r="H71" i="3"/>
  <c r="H65" i="3"/>
  <c r="H20" i="3"/>
  <c r="I57" i="3"/>
  <c r="I54" i="3"/>
  <c r="J17" i="3"/>
  <c r="J37" i="3"/>
  <c r="J34" i="3"/>
  <c r="J51" i="3"/>
  <c r="J47" i="3"/>
  <c r="J43" i="3"/>
  <c r="J39" i="3"/>
  <c r="H60" i="3"/>
  <c r="H57" i="3"/>
  <c r="H54" i="3"/>
  <c r="J69" i="3"/>
  <c r="J66" i="3"/>
  <c r="J63" i="3"/>
  <c r="H17" i="3"/>
  <c r="I37" i="3"/>
  <c r="I34" i="3"/>
  <c r="I51" i="3"/>
  <c r="I47" i="3"/>
  <c r="I43" i="3"/>
  <c r="I39" i="3"/>
  <c r="I69" i="3"/>
  <c r="I66" i="3"/>
  <c r="I63" i="3"/>
  <c r="H66" i="3"/>
  <c r="H63" i="3"/>
  <c r="J14" i="3"/>
  <c r="H14" i="3"/>
  <c r="I30" i="3"/>
  <c r="J48" i="3"/>
  <c r="J44" i="3"/>
  <c r="J40" i="3"/>
  <c r="I61" i="3"/>
  <c r="I58" i="3"/>
  <c r="I55" i="3"/>
  <c r="J67" i="3"/>
  <c r="H11" i="3"/>
  <c r="T101" i="2"/>
  <c r="G101" i="3" s="1"/>
  <c r="T100" i="2"/>
  <c r="G100" i="3"/>
  <c r="J100" i="3"/>
  <c r="H100" i="3"/>
  <c r="I100" i="3"/>
  <c r="U98" i="2"/>
  <c r="T98" i="2"/>
  <c r="G98" i="3" s="1"/>
  <c r="T96" i="2"/>
  <c r="U96" i="2"/>
  <c r="G96" i="3"/>
  <c r="H96" i="3"/>
  <c r="J96" i="3"/>
  <c r="I96" i="3"/>
  <c r="U95" i="2"/>
  <c r="T95" i="2"/>
  <c r="U94" i="2"/>
  <c r="T94" i="2"/>
  <c r="H94" i="3" s="1"/>
  <c r="G94" i="3"/>
  <c r="J94" i="3"/>
  <c r="I94" i="3"/>
  <c r="U93" i="2"/>
  <c r="T93" i="2"/>
  <c r="T91" i="2"/>
  <c r="I91" i="3" s="1"/>
  <c r="G91" i="3"/>
  <c r="H91" i="3"/>
  <c r="J91" i="3"/>
  <c r="U90" i="2"/>
  <c r="T90" i="2"/>
  <c r="G90" i="3"/>
  <c r="J90" i="3"/>
  <c r="H90" i="3"/>
  <c r="I90" i="3"/>
  <c r="U89" i="2"/>
  <c r="T89" i="2"/>
  <c r="G89" i="3" s="1"/>
  <c r="U88" i="2"/>
  <c r="T88" i="2"/>
  <c r="H88" i="3"/>
  <c r="T87" i="2"/>
  <c r="G87" i="3" s="1"/>
  <c r="U87" i="2"/>
  <c r="J87" i="3"/>
  <c r="I87" i="3"/>
  <c r="H87" i="3"/>
  <c r="T86" i="2"/>
  <c r="H86" i="3"/>
  <c r="G86" i="3"/>
  <c r="J86" i="3"/>
  <c r="I86" i="3"/>
  <c r="T84" i="2"/>
  <c r="U84" i="2"/>
  <c r="H84" i="3"/>
  <c r="T83" i="2"/>
  <c r="J83" i="3" s="1"/>
  <c r="U83" i="2"/>
  <c r="U82" i="2"/>
  <c r="T82" i="2"/>
  <c r="I82" i="3" s="1"/>
  <c r="G82" i="3"/>
  <c r="H82" i="3"/>
  <c r="J82" i="3"/>
  <c r="U81" i="2"/>
  <c r="T81" i="2"/>
  <c r="I81" i="3" s="1"/>
  <c r="G81" i="3"/>
  <c r="H81" i="3"/>
  <c r="J81" i="3"/>
  <c r="T80" i="2"/>
  <c r="G80" i="3"/>
  <c r="J80" i="3"/>
  <c r="I80" i="3"/>
  <c r="H80" i="3"/>
  <c r="T79" i="2"/>
  <c r="I79" i="3" s="1"/>
  <c r="T78" i="2"/>
  <c r="J78" i="3" s="1"/>
  <c r="U78" i="2"/>
  <c r="U77" i="2"/>
  <c r="T77" i="2"/>
  <c r="G77" i="3" s="1"/>
  <c r="T76" i="2"/>
  <c r="U76" i="2"/>
  <c r="U75" i="2"/>
  <c r="T75" i="2"/>
  <c r="T74" i="2"/>
  <c r="U74" i="2"/>
  <c r="T73" i="2"/>
  <c r="U73" i="2"/>
  <c r="T72" i="2"/>
  <c r="J72" i="3" s="1"/>
  <c r="G72" i="3"/>
  <c r="H72" i="3"/>
  <c r="I72" i="3"/>
  <c r="H73" i="3"/>
  <c r="G73" i="3"/>
  <c r="J73" i="3"/>
  <c r="I73" i="3"/>
  <c r="H74" i="3"/>
  <c r="G74" i="3"/>
  <c r="J74" i="3"/>
  <c r="I74" i="3"/>
  <c r="J75" i="3"/>
  <c r="G75" i="3"/>
  <c r="I75" i="3"/>
  <c r="H75" i="3"/>
  <c r="J76" i="3"/>
  <c r="G76" i="3"/>
  <c r="I76" i="3"/>
  <c r="H76" i="3"/>
  <c r="H78" i="3"/>
  <c r="G78" i="3"/>
  <c r="I78" i="3"/>
  <c r="G92" i="3"/>
  <c r="H92" i="3"/>
  <c r="I92" i="3"/>
  <c r="J92" i="3"/>
  <c r="T85" i="2"/>
  <c r="U85" i="2"/>
  <c r="T92" i="2"/>
  <c r="U92" i="2"/>
  <c r="U97" i="2"/>
  <c r="T97" i="2"/>
  <c r="T99" i="2"/>
  <c r="U99" i="2"/>
  <c r="T68" i="2"/>
  <c r="I61" i="1"/>
  <c r="I339" i="1"/>
  <c r="B2" i="1"/>
  <c r="T61" i="2"/>
  <c r="U61" i="2"/>
  <c r="U60" i="2"/>
  <c r="T60" i="2"/>
  <c r="T59" i="2"/>
  <c r="U59" i="2"/>
  <c r="U57" i="2"/>
  <c r="T57" i="2"/>
  <c r="U55" i="2"/>
  <c r="T55" i="2"/>
  <c r="T54" i="2"/>
  <c r="U54" i="2"/>
  <c r="U52" i="2"/>
  <c r="T52" i="2"/>
  <c r="T53" i="2"/>
  <c r="U53" i="2"/>
  <c r="T58" i="2"/>
  <c r="U58" i="2"/>
  <c r="B2" i="3"/>
  <c r="T50" i="2"/>
  <c r="U50" i="2"/>
  <c r="T48" i="2"/>
  <c r="U48" i="2"/>
  <c r="U43" i="2"/>
  <c r="T43" i="2"/>
  <c r="T42" i="2"/>
  <c r="U42" i="2"/>
  <c r="U44" i="2"/>
  <c r="T44" i="2"/>
  <c r="T45" i="2"/>
  <c r="U45" i="2"/>
  <c r="T46" i="2"/>
  <c r="U46" i="2"/>
  <c r="U49" i="2"/>
  <c r="T49" i="2"/>
  <c r="U41" i="2"/>
  <c r="T41" i="2"/>
  <c r="U39" i="2"/>
  <c r="T39" i="2"/>
  <c r="T38" i="2"/>
  <c r="U38" i="2"/>
  <c r="U36" i="2"/>
  <c r="T36" i="2"/>
  <c r="U35" i="2"/>
  <c r="T35" i="2"/>
  <c r="T34" i="2"/>
  <c r="U34" i="2"/>
  <c r="U40" i="2"/>
  <c r="T40" i="2"/>
  <c r="U32" i="2"/>
  <c r="T32" i="2"/>
  <c r="T33" i="2"/>
  <c r="U33" i="2"/>
  <c r="T29" i="2"/>
  <c r="U29" i="2"/>
  <c r="U28" i="2"/>
  <c r="T28" i="2"/>
  <c r="U27" i="2"/>
  <c r="T27" i="2"/>
  <c r="T25" i="2"/>
  <c r="U25" i="2"/>
  <c r="T26" i="2"/>
  <c r="U26" i="2"/>
  <c r="I28" i="3"/>
  <c r="G28" i="3"/>
  <c r="J28" i="3"/>
  <c r="H28" i="3"/>
  <c r="T31" i="2"/>
  <c r="U31" i="2"/>
  <c r="U24" i="2"/>
  <c r="T24" i="2"/>
  <c r="I23" i="3"/>
  <c r="I20" i="3"/>
  <c r="I17" i="3"/>
  <c r="I14" i="3"/>
  <c r="I11" i="3"/>
  <c r="I8" i="3"/>
  <c r="I5" i="3"/>
  <c r="J22" i="3"/>
  <c r="J19" i="3"/>
  <c r="J16" i="3"/>
  <c r="J13" i="3"/>
  <c r="J10" i="3"/>
  <c r="J7" i="3"/>
  <c r="J4" i="3"/>
  <c r="I22" i="3"/>
  <c r="I19" i="3"/>
  <c r="I16" i="3"/>
  <c r="I13" i="3"/>
  <c r="I10" i="3"/>
  <c r="I7" i="3"/>
  <c r="I4" i="3"/>
  <c r="H22" i="3"/>
  <c r="H19" i="3"/>
  <c r="H16" i="3"/>
  <c r="H13" i="3"/>
  <c r="H10" i="3"/>
  <c r="H7" i="3"/>
  <c r="H4" i="3"/>
  <c r="G2" i="3"/>
  <c r="J21" i="3"/>
  <c r="J18" i="3"/>
  <c r="J15" i="3"/>
  <c r="J12" i="3"/>
  <c r="J9" i="3"/>
  <c r="J6" i="3"/>
  <c r="J3" i="3"/>
  <c r="J2" i="3"/>
  <c r="I21" i="3"/>
  <c r="I18" i="3"/>
  <c r="I15" i="3"/>
  <c r="I12" i="3"/>
  <c r="I9" i="3"/>
  <c r="I6" i="3"/>
  <c r="I3" i="3"/>
  <c r="I2" i="3"/>
  <c r="H21" i="3"/>
  <c r="H18" i="3"/>
  <c r="H15" i="3"/>
  <c r="H12" i="3"/>
  <c r="H9" i="3"/>
  <c r="H6" i="3"/>
  <c r="H3" i="3"/>
  <c r="U19" i="2"/>
  <c r="U22" i="2"/>
  <c r="U16" i="2"/>
  <c r="U13" i="2"/>
  <c r="U10" i="2"/>
  <c r="U4" i="2"/>
  <c r="U12" i="2"/>
  <c r="U21" i="2"/>
  <c r="U18" i="2"/>
  <c r="U15" i="2"/>
  <c r="U2" i="2"/>
  <c r="U17" i="2"/>
  <c r="U23" i="2"/>
  <c r="U20" i="2"/>
  <c r="U5" i="2"/>
  <c r="I101" i="3" l="1"/>
  <c r="J101" i="3"/>
  <c r="H101" i="3"/>
  <c r="J99" i="3"/>
  <c r="I99" i="3"/>
  <c r="H99" i="3"/>
  <c r="G99" i="3"/>
  <c r="H98" i="3"/>
  <c r="I98" i="3"/>
  <c r="J98" i="3"/>
  <c r="G97" i="3"/>
  <c r="J97" i="3"/>
  <c r="I97" i="3"/>
  <c r="H97" i="3"/>
  <c r="I95" i="3"/>
  <c r="G95" i="3"/>
  <c r="J95" i="3"/>
  <c r="H95" i="3"/>
  <c r="H93" i="3"/>
  <c r="I93" i="3"/>
  <c r="J93" i="3"/>
  <c r="G93" i="3"/>
  <c r="J89" i="3"/>
  <c r="I89" i="3"/>
  <c r="H89" i="3"/>
  <c r="G88" i="3"/>
  <c r="J88" i="3"/>
  <c r="I88" i="3"/>
  <c r="G85" i="3"/>
  <c r="J85" i="3"/>
  <c r="I85" i="3"/>
  <c r="H85" i="3"/>
  <c r="J84" i="3"/>
  <c r="G84" i="3"/>
  <c r="I84" i="3"/>
  <c r="G83" i="3"/>
  <c r="I83" i="3"/>
  <c r="H83" i="3"/>
  <c r="J79" i="3"/>
  <c r="G79" i="3"/>
  <c r="H79" i="3"/>
  <c r="I77" i="3"/>
  <c r="H77" i="3"/>
  <c r="J77" i="3"/>
  <c r="G29" i="3"/>
  <c r="I29" i="3"/>
  <c r="J29" i="3"/>
  <c r="H29" i="3"/>
  <c r="I27" i="3"/>
  <c r="J27" i="3"/>
  <c r="G27" i="3"/>
  <c r="H27" i="3"/>
  <c r="J25" i="3"/>
  <c r="I25" i="3"/>
  <c r="H25" i="3"/>
  <c r="G25" i="3"/>
  <c r="I26" i="3"/>
  <c r="G26" i="3"/>
  <c r="H26" i="3"/>
  <c r="J26" i="3"/>
  <c r="J31" i="3"/>
  <c r="H31" i="3"/>
  <c r="G31" i="3"/>
  <c r="I31" i="3"/>
  <c r="H24" i="3"/>
  <c r="J24" i="3"/>
  <c r="I24" i="3"/>
  <c r="G24" i="3"/>
  <c r="C2" i="4" l="1"/>
  <c r="B3" i="4"/>
  <c r="D5" i="4"/>
  <c r="B5" i="4"/>
  <c r="B4" i="4"/>
  <c r="B2" i="4"/>
  <c r="D4" i="4"/>
  <c r="D2" i="4"/>
  <c r="D3" i="4"/>
  <c r="E2" i="4"/>
  <c r="E4" i="4"/>
  <c r="E5" i="4"/>
  <c r="E3" i="4"/>
  <c r="C3" i="4"/>
  <c r="C4" i="4"/>
  <c r="C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<sst xmlns="http://schemas.openxmlformats.org/spreadsheetml/2006/main" count="151" uniqueCount="139">
  <si>
    <t>Player_ID</t>
  </si>
  <si>
    <t>Leaderboard_Rank</t>
  </si>
  <si>
    <t>Deployments</t>
  </si>
  <si>
    <t>Vehicle_Time_Hour</t>
  </si>
  <si>
    <t>Mixed_Time_Hour</t>
  </si>
  <si>
    <t>Infantry_Time_Hour</t>
  </si>
  <si>
    <t>Battle_Royale_Hour</t>
  </si>
  <si>
    <t>Map_Tendency</t>
  </si>
  <si>
    <t>Assault_Time_Hour</t>
  </si>
  <si>
    <t>Engineer_Time_Hour</t>
  </si>
  <si>
    <t>Recon_Time_Hour</t>
  </si>
  <si>
    <t>Support_Time_Hour</t>
  </si>
  <si>
    <t>Total_Time_Hour</t>
  </si>
  <si>
    <t>Primary_Class</t>
  </si>
  <si>
    <t>Dominant-Class</t>
  </si>
  <si>
    <t>Dominance Percentage</t>
  </si>
  <si>
    <t>Snapshot_Date</t>
  </si>
  <si>
    <t>Stann83cz</t>
  </si>
  <si>
    <t>Sir Jekyll</t>
  </si>
  <si>
    <t>elkikisk</t>
  </si>
  <si>
    <t>HSBxEWIKKED</t>
  </si>
  <si>
    <t>TheBishopDeath</t>
  </si>
  <si>
    <t>AncientWizardGuy</t>
  </si>
  <si>
    <t>M5_eaglez</t>
  </si>
  <si>
    <t>Ragefast2311</t>
  </si>
  <si>
    <t>xCPC464x</t>
  </si>
  <si>
    <t>Benzo_</t>
  </si>
  <si>
    <t>rgayregger</t>
  </si>
  <si>
    <t>Conquest_Hours</t>
  </si>
  <si>
    <t>Escalation_Hours</t>
  </si>
  <si>
    <t>Breakthrough_Hours</t>
  </si>
  <si>
    <t>Rush_Hours</t>
  </si>
  <si>
    <t>TDM</t>
  </si>
  <si>
    <t>SDM</t>
  </si>
  <si>
    <t>Strikepoint</t>
  </si>
  <si>
    <t>Gauntlet</t>
  </si>
  <si>
    <t>Domination</t>
  </si>
  <si>
    <t>KotH</t>
  </si>
  <si>
    <t>Sabotage</t>
  </si>
  <si>
    <t>BR Quads</t>
  </si>
  <si>
    <t>BR Duos</t>
  </si>
  <si>
    <t>dark_ken2284</t>
  </si>
  <si>
    <t>Mosthated220</t>
  </si>
  <si>
    <t>Bilbo-Fragginz88</t>
  </si>
  <si>
    <t>xensis</t>
  </si>
  <si>
    <t>Hogwarts</t>
  </si>
  <si>
    <t>Vince77820</t>
  </si>
  <si>
    <t>issa_coot</t>
  </si>
  <si>
    <t>Altelete</t>
  </si>
  <si>
    <t>on3fr3ak</t>
  </si>
  <si>
    <t>Felliandro</t>
  </si>
  <si>
    <t>Tohu-1021</t>
  </si>
  <si>
    <t>Assault_Share</t>
  </si>
  <si>
    <t>Engineer_Share</t>
  </si>
  <si>
    <t>Recon_Share</t>
  </si>
  <si>
    <t>Support_Share</t>
  </si>
  <si>
    <t>Infantry_Share</t>
  </si>
  <si>
    <t>Mixed_Share</t>
  </si>
  <si>
    <t>Vehicle_Share</t>
  </si>
  <si>
    <t>BR_Share</t>
  </si>
  <si>
    <t>Total_Mode_Hours</t>
  </si>
  <si>
    <t>Francko Escobar</t>
  </si>
  <si>
    <t>Rubiroid_YT</t>
  </si>
  <si>
    <t>THE1ST48</t>
  </si>
  <si>
    <t>Pugskooll</t>
  </si>
  <si>
    <t>Morthylia</t>
  </si>
  <si>
    <t>MrTopherB</t>
  </si>
  <si>
    <t>Notinsanity</t>
  </si>
  <si>
    <t>Republic</t>
  </si>
  <si>
    <t>derekcollins123456</t>
  </si>
  <si>
    <t>Beserker_khan</t>
  </si>
  <si>
    <t>PDisPro</t>
  </si>
  <si>
    <t>ARMENIA</t>
  </si>
  <si>
    <t>Netl</t>
  </si>
  <si>
    <t>FridaySV</t>
  </si>
  <si>
    <t>Polishman22</t>
  </si>
  <si>
    <t>SuperPikasso</t>
  </si>
  <si>
    <t>Olegich_999</t>
  </si>
  <si>
    <t>VITARTA</t>
  </si>
  <si>
    <t>Puddy</t>
  </si>
  <si>
    <t>LtFrankDrebiin</t>
  </si>
  <si>
    <t>Ambrokinarrow</t>
  </si>
  <si>
    <t>heroic_her0ooo</t>
  </si>
  <si>
    <t>MICHEL_Bagual</t>
  </si>
  <si>
    <t>DenisRezh</t>
  </si>
  <si>
    <t>清蒸哈基米</t>
  </si>
  <si>
    <t>deesmoke180</t>
  </si>
  <si>
    <t>Comatose615</t>
  </si>
  <si>
    <t>papablack51</t>
  </si>
  <si>
    <t>MiaoSangSSS</t>
  </si>
  <si>
    <t>Parziva-l-_-l</t>
  </si>
  <si>
    <t>ValarMorghulis49</t>
  </si>
  <si>
    <t>Steffy-_Errote_-</t>
  </si>
  <si>
    <t>phillymidnight</t>
  </si>
  <si>
    <t>ZachAttack9041</t>
  </si>
  <si>
    <t>xW1cKeDxHIGH420</t>
  </si>
  <si>
    <t>Bally-Bola</t>
  </si>
  <si>
    <t>delfpz</t>
  </si>
  <si>
    <t>Mad Zar</t>
  </si>
  <si>
    <t>RemTozKi</t>
  </si>
  <si>
    <t>Ambitious_destro</t>
  </si>
  <si>
    <t>avengerhawk</t>
  </si>
  <si>
    <t>sums</t>
  </si>
  <si>
    <t>GML1977</t>
  </si>
  <si>
    <t>XxUN7OUCHA8L3xX</t>
  </si>
  <si>
    <t>Unkizz</t>
  </si>
  <si>
    <t>LRTX_BF</t>
  </si>
  <si>
    <t>Rust</t>
  </si>
  <si>
    <t>bladeshin87</t>
  </si>
  <si>
    <t>pegasusKOOK</t>
  </si>
  <si>
    <t>RyShack_</t>
  </si>
  <si>
    <t>Kekko190384</t>
  </si>
  <si>
    <t>OCTOGUE</t>
  </si>
  <si>
    <t>lowkeylui</t>
  </si>
  <si>
    <t>KruTcH</t>
  </si>
  <si>
    <t>Casios</t>
  </si>
  <si>
    <t>Icer112</t>
  </si>
  <si>
    <t>Rhyno.Dios</t>
  </si>
  <si>
    <t>I8I HECTOR I8I</t>
  </si>
  <si>
    <t>Rayxbandzx</t>
  </si>
  <si>
    <t>Boo89_Hu</t>
  </si>
  <si>
    <t>女aBDULLAH15n</t>
  </si>
  <si>
    <t>Loogiboii</t>
  </si>
  <si>
    <t>若葉 睦 Ave Mujica</t>
  </si>
  <si>
    <t>XxGriZzledVeTxX</t>
  </si>
  <si>
    <t>stevenfett</t>
  </si>
  <si>
    <t>Czarny_Pancio</t>
  </si>
  <si>
    <t>MARQ THE BEAST</t>
  </si>
  <si>
    <t>MB-Wayne</t>
  </si>
  <si>
    <t>Buchanan008</t>
  </si>
  <si>
    <t>Q8-SHOOTER</t>
  </si>
  <si>
    <t>witted-lug0gg</t>
  </si>
  <si>
    <t>C00L_Breeze_79</t>
  </si>
  <si>
    <t>Valefar l</t>
  </si>
  <si>
    <t>SilverCrown117</t>
  </si>
  <si>
    <t>WhiteYD1299</t>
  </si>
  <si>
    <t>14_SCALPEL_41</t>
  </si>
  <si>
    <t>DiPHY</t>
  </si>
  <si>
    <t>tc_likeman01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</si>
</sst>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" fontId="0" fillId="0" borderId="3" xfId="0" applyNumberFormat="1" applyBorder="1"/>
    <xf numFmtId="1" fontId="0" fillId="0" borderId="0" xfId="0" applyNumberFormat="1"/>
    <xf numFmtId="0" fontId="0" fillId="0" borderId="3" xfId="0" applyBorder="1"/>
    <xf numFmtId="9" fontId="0" fillId="0" borderId="0" xfId="1" applyFont="1"/>
    <xf numFmtId="14" fontId="0" fillId="0" borderId="0" xfId="0" applyNumberFormat="1"/>
    <xf numFmtId="1" fontId="0" fillId="0" borderId="5" xfId="0" applyNumberFormat="1" applyBorder="1"/>
    <xf numFmtId="9" fontId="0" fillId="0" borderId="3" xfId="1" applyFont="1" applyBorder="1"/>
    <xf numFmtId="9" fontId="0" fillId="0" borderId="0" xfId="1" applyFont="1" applyBorder="1"/>
    <xf numFmtId="0" fontId="2" fillId="2" borderId="5" xfId="0" applyFont="1" applyFill="1" applyBorder="1" applyAlignment="1">
      <alignment horizontal="center"/>
    </xf>
    <xf numFmtId="0" fontId="0" fillId="3" borderId="0" xfId="0" applyFill="1"/>
    <xf numFmtId="0" fontId="2" fillId="2" borderId="6" xfId="0" applyFont="1" applyFill="1" applyBorder="1" applyAlignment="1">
      <alignment horizontal="center"/>
    </xf>
    <xf numFmtId="2" fontId="0" fillId="3" borderId="0" xfId="0" applyNumberFormat="1" applyFill="1"/>
    <xf numFmtId="2" fontId="0" fillId="3" borderId="7" xfId="0" applyNumberFormat="1" applyFill="1" applyBorder="1"/>
    <xf numFmtId="2" fontId="0" fillId="3" borderId="8" xfId="0" applyNumberFormat="1" applyFill="1" applyBorder="1"/>
    <xf numFmtId="2" fontId="0" fillId="3" borderId="9" xfId="0" applyNumberFormat="1" applyFill="1" applyBorder="1"/>
    <xf numFmtId="2" fontId="0" fillId="3" borderId="3" xfId="0" applyNumberFormat="1" applyFill="1" applyBorder="1"/>
    <xf numFmtId="2" fontId="0" fillId="3" borderId="5" xfId="0" applyNumberFormat="1" applyFill="1" applyBorder="1"/>
    <xf numFmtId="2" fontId="0" fillId="3" borderId="10" xfId="0" applyNumberFormat="1" applyFill="1" applyBorder="1"/>
    <xf numFmtId="2" fontId="0" fillId="3" borderId="6" xfId="0" applyNumberFormat="1" applyFill="1" applyBorder="1"/>
    <xf numFmtId="2" fontId="0" fillId="3" borderId="11" xfId="0" applyNumberFormat="1" applyFill="1" applyBorder="1"/>
    <xf numFmtId="9" fontId="0" fillId="0" borderId="0" xfId="0" applyNumberFormat="1"/>
    <xf numFmtId="1" fontId="2" fillId="2" borderId="4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D690-FEC0-40E4-9317-47EE0390381B}">
  <dimension ref="A1:L1001"/>
  <sheetViews>
    <sheetView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1" max="1" width="17.28515625" bestFit="1" customWidth="1"/>
    <col min="2" max="2" width="17.85546875" customWidth="1"/>
    <col min="3" max="3" width="13.28515625" bestFit="1" customWidth="1"/>
    <col min="4" max="4" width="18.42578125" style="9" bestFit="1" customWidth="1"/>
    <col min="5" max="5" width="19.85546875" bestFit="1" customWidth="1"/>
    <col min="6" max="6" width="17.5703125" bestFit="1" customWidth="1"/>
    <col min="7" max="7" width="19" bestFit="1" customWidth="1"/>
    <col min="8" max="8" width="16.140625" bestFit="1" customWidth="1"/>
    <col min="9" max="9" width="20.140625" style="9" customWidth="1"/>
    <col min="10" max="10" width="15.7109375" bestFit="1" customWidth="1"/>
    <col min="11" max="11" width="22.28515625" style="10" bestFit="1" customWidth="1"/>
    <col min="12" max="12" width="14.7109375" style="11" bestFit="1" customWidth="1"/>
  </cols>
  <sheetData>
    <row r="1" spans="1:12" s="1" customFormat="1" ht="15.75" thickBot="1" x14ac:dyDescent="0.3">
      <c r="A1" s="1" t="s">
        <v>0</v>
      </c>
      <c r="B1" s="1" t="s">
        <v>1</v>
      </c>
      <c r="C1" s="1" t="s">
        <v>2</v>
      </c>
      <c r="D1" s="4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1" t="s">
        <v>14</v>
      </c>
      <c r="K1" s="5" t="s">
        <v>15</v>
      </c>
      <c r="L1" s="6" t="s">
        <v>16</v>
      </c>
    </row>
    <row r="2" spans="1:12" x14ac:dyDescent="0.25">
      <c r="A2" t="s">
        <v>17</v>
      </c>
      <c r="B2" cm="1">
        <f t="array" ref="B2:B1001">_xlfn.SEQUENCE(1000,1,7,10)</f>
        <v>7</v>
      </c>
      <c r="C2">
        <v>42845</v>
      </c>
      <c r="D2" s="9">
        <v>290</v>
      </c>
      <c r="E2">
        <v>42</v>
      </c>
      <c r="F2">
        <v>150</v>
      </c>
      <c r="G2">
        <v>65</v>
      </c>
      <c r="H2">
        <f>SUM(D2:G2)</f>
        <v>547</v>
      </c>
      <c r="I2" s="9" t="str" cm="1">
        <f t="array" ref="I2">_xlfn.LET(_xlpm.total,SUM(D2:G2),_xlpm.maxv,MAX(D2:G2),IF(_xlpm.total=0,"",IF(_xlpm.maxv/_xlpm.total&lt;0.5,"Mixed-Class",_xlfn.IFS(_xlpm.maxv=D2,"Assault",_xlpm.maxv=E2,"Engineer",_xlpm.maxv=F2,"Recon",_xlpm.maxv=G2,"Support"))))</f>
        <v>Assault</v>
      </c>
      <c r="J2" t="b">
        <f>_xlfn.LET(_xlpm.total,SUM(D2:G2),IF(_xlpm.total=0,"",MAX(D2:G2)/_xlpm.total&gt;=0.5))</f>
        <v>1</v>
      </c>
      <c r="K2" s="10">
        <f>_xlfn.LET(_xlpm.total,SUM(D2:G2),IF(_xlpm.total=0,"",MAX(D2:G2)/_xlpm.total))</f>
        <v>0.53016453382084094</v>
      </c>
      <c r="L2" s="11">
        <v>46046</v>
      </c>
    </row>
    <row r="3" spans="1:12" x14ac:dyDescent="0.25">
      <c r="A3" t="s">
        <v>18</v>
      </c>
      <c r="B3">
        <v>17</v>
      </c>
      <c r="C3">
        <v>38077</v>
      </c>
      <c r="D3" s="9">
        <v>176</v>
      </c>
      <c r="E3">
        <v>216</v>
      </c>
      <c r="F3">
        <v>66</v>
      </c>
      <c r="G3">
        <v>130</v>
      </c>
      <c r="H3">
        <f t="shared" ref="H3:H66" si="0">SUM(D3:G3)</f>
        <v>588</v>
      </c>
      <c r="I3" s="9" t="str" cm="1">
        <f t="array" ref="I3">_xlfn.LET(_xlpm.total,SUM(D3:G3),_xlpm.maxv,MAX(D3:G3),IF(_xlpm.total=0,"",IF(_xlpm.maxv/_xlpm.total&lt;0.5,"Mixed-Class",_xlfn.IFS(_xlpm.maxv=D3,"Assault",_xlpm.maxv=E3,"Engineer",_xlpm.maxv=F3,"Recon",_xlpm.maxv=G3,"Support"))))</f>
        <v>Mixed-Class</v>
      </c>
      <c r="J3" t="b">
        <f t="shared" ref="J3:J66" si="1">_xlfn.LET(_xlpm.total,SUM(D3:G3),IF(_xlpm.total=0,"",MAX(D3:G3)/_xlpm.total&gt;=0.5))</f>
        <v>0</v>
      </c>
      <c r="K3" s="10">
        <f t="shared" ref="K3:K61" si="2">_xlfn.LET(_xlpm.total,SUM(D3:G3),IF(_xlpm.total=0,"",MAX(D3:G3)/_xlpm.total))</f>
        <v>0.36734693877551022</v>
      </c>
      <c r="L3" s="11">
        <v>46046</v>
      </c>
    </row>
    <row r="4" spans="1:12" x14ac:dyDescent="0.25">
      <c r="A4" t="s">
        <v>19</v>
      </c>
      <c r="B4">
        <v>27</v>
      </c>
      <c r="C4">
        <v>36961</v>
      </c>
      <c r="D4" s="9">
        <v>326</v>
      </c>
      <c r="E4">
        <v>196</v>
      </c>
      <c r="F4">
        <v>41</v>
      </c>
      <c r="G4">
        <v>223</v>
      </c>
      <c r="H4">
        <f t="shared" si="0"/>
        <v>786</v>
      </c>
      <c r="I4" s="9" t="str" cm="1">
        <f t="array" ref="I4">_xlfn.LET(_xlpm.total,SUM(D4:G4),_xlpm.maxv,MAX(D4:G4),IF(_xlpm.total=0,"",IF(_xlpm.maxv/_xlpm.total&lt;0.5,"Mixed-Class",_xlfn.IFS(_xlpm.maxv=D4,"Assault",_xlpm.maxv=E4,"Engineer",_xlpm.maxv=F4,"Recon",_xlpm.maxv=G4,"Support"))))</f>
        <v>Mixed-Class</v>
      </c>
      <c r="J4" t="b">
        <f t="shared" si="1"/>
        <v>0</v>
      </c>
      <c r="K4" s="10">
        <f t="shared" si="2"/>
        <v>0.41475826972010177</v>
      </c>
      <c r="L4" s="11">
        <v>46048</v>
      </c>
    </row>
    <row r="5" spans="1:12" x14ac:dyDescent="0.25">
      <c r="A5" t="s">
        <v>20</v>
      </c>
      <c r="B5">
        <v>37</v>
      </c>
      <c r="C5">
        <v>35380</v>
      </c>
      <c r="D5" s="9">
        <v>1</v>
      </c>
      <c r="E5">
        <v>8</v>
      </c>
      <c r="F5">
        <v>105</v>
      </c>
      <c r="G5">
        <v>671</v>
      </c>
      <c r="H5">
        <f t="shared" si="0"/>
        <v>785</v>
      </c>
      <c r="I5" s="9" t="str" cm="1">
        <f t="array" ref="I5">_xlfn.LET(_xlpm.total,SUM(D5:G5),_xlpm.maxv,MAX(D5:G5),IF(_xlpm.total=0,"",IF(_xlpm.maxv/_xlpm.total&lt;0.5,"Mixed-Class",_xlfn.IFS(_xlpm.maxv=D5,"Assault",_xlpm.maxv=E5,"Engineer",_xlpm.maxv=F5,"Recon",_xlpm.maxv=G5,"Support"))))</f>
        <v>Support</v>
      </c>
      <c r="J5" t="b">
        <f t="shared" si="1"/>
        <v>1</v>
      </c>
      <c r="K5" s="10">
        <f t="shared" si="2"/>
        <v>0.8547770700636943</v>
      </c>
      <c r="L5" s="11">
        <v>46048</v>
      </c>
    </row>
    <row r="6" spans="1:12" x14ac:dyDescent="0.25">
      <c r="A6" t="s">
        <v>21</v>
      </c>
      <c r="B6">
        <v>47</v>
      </c>
      <c r="C6">
        <v>34290</v>
      </c>
      <c r="D6" s="9">
        <v>105</v>
      </c>
      <c r="E6">
        <v>390</v>
      </c>
      <c r="F6">
        <v>3</v>
      </c>
      <c r="G6">
        <v>37</v>
      </c>
      <c r="H6">
        <f t="shared" si="0"/>
        <v>535</v>
      </c>
      <c r="I6" s="9" t="str" cm="1">
        <f t="array" ref="I6">_xlfn.LET(_xlpm.total,SUM(D6:G6),_xlpm.maxv,MAX(D6:G6),IF(_xlpm.total=0,"",IF(_xlpm.maxv/_xlpm.total&lt;0.5,"Mixed-Class",_xlfn.IFS(_xlpm.maxv=D6,"Assault",_xlpm.maxv=E6,"Engineer",_xlpm.maxv=F6,"Recon",_xlpm.maxv=G6,"Support"))))</f>
        <v>Engineer</v>
      </c>
      <c r="J6" t="b">
        <f t="shared" si="1"/>
        <v>1</v>
      </c>
      <c r="K6" s="10">
        <f t="shared" si="2"/>
        <v>0.7289719626168224</v>
      </c>
      <c r="L6" s="11">
        <v>46048</v>
      </c>
    </row>
    <row r="7" spans="1:12" x14ac:dyDescent="0.25">
      <c r="A7" t="s">
        <v>22</v>
      </c>
      <c r="B7">
        <v>57</v>
      </c>
      <c r="C7">
        <v>33277</v>
      </c>
      <c r="D7" s="9">
        <v>104</v>
      </c>
      <c r="E7">
        <v>156</v>
      </c>
      <c r="F7">
        <v>126</v>
      </c>
      <c r="G7">
        <v>211</v>
      </c>
      <c r="H7">
        <f t="shared" si="0"/>
        <v>597</v>
      </c>
      <c r="I7" s="9" t="str" cm="1">
        <f t="array" ref="I7">_xlfn.LET(_xlpm.total,SUM(D7:G7),_xlpm.maxv,MAX(D7:G7),IF(_xlpm.total=0,"",IF(_xlpm.maxv/_xlpm.total&lt;0.5,"Mixed-Class",_xlfn.IFS(_xlpm.maxv=D7,"Assault",_xlpm.maxv=E7,"Engineer",_xlpm.maxv=F7,"Recon",_xlpm.maxv=G7,"Support"))))</f>
        <v>Mixed-Class</v>
      </c>
      <c r="J7" t="b">
        <f t="shared" si="1"/>
        <v>0</v>
      </c>
      <c r="K7" s="10">
        <f t="shared" si="2"/>
        <v>0.35343383584589616</v>
      </c>
      <c r="L7" s="11">
        <v>46048</v>
      </c>
    </row>
    <row r="8" spans="1:12" x14ac:dyDescent="0.25">
      <c r="A8" t="s">
        <v>23</v>
      </c>
      <c r="B8">
        <v>67</v>
      </c>
      <c r="C8">
        <v>32631</v>
      </c>
      <c r="D8" s="9">
        <v>233</v>
      </c>
      <c r="E8">
        <v>68</v>
      </c>
      <c r="F8">
        <v>62</v>
      </c>
      <c r="G8">
        <v>85</v>
      </c>
      <c r="H8">
        <f t="shared" si="0"/>
        <v>448</v>
      </c>
      <c r="I8" s="9" t="str" cm="1">
        <f t="array" ref="I8">_xlfn.LET(_xlpm.total,SUM(D8:G8),_xlpm.maxv,MAX(D8:G8),IF(_xlpm.total=0,"",IF(_xlpm.maxv/_xlpm.total&lt;0.5,"Mixed-Class",_xlfn.IFS(_xlpm.maxv=D8,"Assault",_xlpm.maxv=E8,"Engineer",_xlpm.maxv=F8,"Recon",_xlpm.maxv=G8,"Support"))))</f>
        <v>Assault</v>
      </c>
      <c r="J8" t="b">
        <f t="shared" si="1"/>
        <v>1</v>
      </c>
      <c r="K8" s="10">
        <f t="shared" si="2"/>
        <v>0.5200892857142857</v>
      </c>
      <c r="L8" s="11">
        <v>46048</v>
      </c>
    </row>
    <row r="9" spans="1:12" x14ac:dyDescent="0.25">
      <c r="A9" t="s">
        <v>24</v>
      </c>
      <c r="B9">
        <v>77</v>
      </c>
      <c r="C9">
        <v>32224</v>
      </c>
      <c r="D9" s="9">
        <v>10</v>
      </c>
      <c r="E9">
        <v>9</v>
      </c>
      <c r="F9">
        <v>12</v>
      </c>
      <c r="G9">
        <v>409</v>
      </c>
      <c r="H9">
        <f t="shared" si="0"/>
        <v>440</v>
      </c>
      <c r="I9" s="9" t="str" cm="1">
        <f t="array" ref="I9">_xlfn.LET(_xlpm.total,SUM(D9:G9),_xlpm.maxv,MAX(D9:G9),IF(_xlpm.total=0,"",IF(_xlpm.maxv/_xlpm.total&lt;0.5,"Mixed-Class",_xlfn.IFS(_xlpm.maxv=D9,"Assault",_xlpm.maxv=E9,"Engineer",_xlpm.maxv=F9,"Recon",_xlpm.maxv=G9,"Support"))))</f>
        <v>Support</v>
      </c>
      <c r="J9" t="b">
        <f t="shared" si="1"/>
        <v>1</v>
      </c>
      <c r="K9" s="10">
        <f t="shared" si="2"/>
        <v>0.92954545454545456</v>
      </c>
      <c r="L9" s="11">
        <v>46048</v>
      </c>
    </row>
    <row r="10" spans="1:12" x14ac:dyDescent="0.25">
      <c r="A10" t="s">
        <v>25</v>
      </c>
      <c r="B10">
        <v>87</v>
      </c>
      <c r="C10">
        <v>31404</v>
      </c>
      <c r="D10" s="9">
        <v>360</v>
      </c>
      <c r="E10">
        <v>35</v>
      </c>
      <c r="F10">
        <v>204</v>
      </c>
      <c r="G10">
        <v>56</v>
      </c>
      <c r="H10">
        <f t="shared" si="0"/>
        <v>655</v>
      </c>
      <c r="I10" s="9" t="str" cm="1">
        <f t="array" ref="I10">_xlfn.LET(_xlpm.total,SUM(D10:G10),_xlpm.maxv,MAX(D10:G10),IF(_xlpm.total=0,"",IF(_xlpm.maxv/_xlpm.total&lt;0.5,"Mixed-Class",_xlfn.IFS(_xlpm.maxv=D10,"Assault",_xlpm.maxv=E10,"Engineer",_xlpm.maxv=F10,"Recon",_xlpm.maxv=G10,"Support"))))</f>
        <v>Assault</v>
      </c>
      <c r="J10" t="b">
        <f t="shared" si="1"/>
        <v>1</v>
      </c>
      <c r="K10" s="10">
        <f t="shared" si="2"/>
        <v>0.54961832061068705</v>
      </c>
      <c r="L10" s="11">
        <v>46048</v>
      </c>
    </row>
    <row r="11" spans="1:12" x14ac:dyDescent="0.25">
      <c r="A11" t="s">
        <v>26</v>
      </c>
      <c r="B11">
        <v>97</v>
      </c>
      <c r="C11">
        <v>30772</v>
      </c>
      <c r="D11" s="9">
        <v>27</v>
      </c>
      <c r="E11">
        <v>152</v>
      </c>
      <c r="F11">
        <v>140</v>
      </c>
      <c r="G11">
        <v>203</v>
      </c>
      <c r="H11">
        <f t="shared" si="0"/>
        <v>522</v>
      </c>
      <c r="I11" s="9" t="str" cm="1">
        <f t="array" ref="I11">_xlfn.LET(_xlpm.total,SUM(D11:G11),_xlpm.maxv,MAX(D11:G11),IF(_xlpm.total=0,"",IF(_xlpm.maxv/_xlpm.total&lt;0.5,"Mixed-Class",_xlfn.IFS(_xlpm.maxv=D11,"Assault",_xlpm.maxv=E11,"Engineer",_xlpm.maxv=F11,"Recon",_xlpm.maxv=G11,"Support"))))</f>
        <v>Mixed-Class</v>
      </c>
      <c r="J11" t="b">
        <f t="shared" si="1"/>
        <v>0</v>
      </c>
      <c r="K11" s="10">
        <f t="shared" si="2"/>
        <v>0.3888888888888889</v>
      </c>
      <c r="L11" s="11">
        <v>46048</v>
      </c>
    </row>
    <row r="12" spans="1:12" x14ac:dyDescent="0.25">
      <c r="A12" t="s">
        <v>27</v>
      </c>
      <c r="B12">
        <v>107</v>
      </c>
      <c r="C12">
        <v>31795</v>
      </c>
      <c r="D12" s="9">
        <v>252</v>
      </c>
      <c r="E12">
        <v>59</v>
      </c>
      <c r="F12">
        <v>30</v>
      </c>
      <c r="G12">
        <v>22</v>
      </c>
      <c r="H12">
        <f t="shared" si="0"/>
        <v>363</v>
      </c>
      <c r="I12" s="9" t="str" cm="1">
        <f t="array" ref="I12">_xlfn.LET(_xlpm.total,SUM(D12:G12),_xlpm.maxv,MAX(D12:G12),IF(_xlpm.total=0,"",IF(_xlpm.maxv/_xlpm.total&lt;0.5,"Mixed-Class",_xlfn.IFS(_xlpm.maxv=D12,"Assault",_xlpm.maxv=E12,"Engineer",_xlpm.maxv=F12,"Recon",_xlpm.maxv=G12,"Support"))))</f>
        <v>Assault</v>
      </c>
      <c r="J12" t="b">
        <f t="shared" si="1"/>
        <v>1</v>
      </c>
      <c r="K12" s="10">
        <f t="shared" si="2"/>
        <v>0.69421487603305787</v>
      </c>
      <c r="L12" s="11">
        <v>46056</v>
      </c>
    </row>
    <row r="13" spans="1:12" x14ac:dyDescent="0.25">
      <c r="A13" t="s">
        <v>41</v>
      </c>
      <c r="B13">
        <v>117</v>
      </c>
      <c r="C13">
        <v>31489</v>
      </c>
      <c r="D13" s="9">
        <v>234</v>
      </c>
      <c r="E13">
        <v>3</v>
      </c>
      <c r="F13">
        <v>104</v>
      </c>
      <c r="G13">
        <v>125</v>
      </c>
      <c r="H13">
        <f t="shared" si="0"/>
        <v>466</v>
      </c>
      <c r="I13" s="9" t="str" cm="1">
        <f t="array" ref="I13">_xlfn.LET(_xlpm.total,SUM(D13:G13),_xlpm.maxv,MAX(D13:G13),IF(_xlpm.total=0,"",IF(_xlpm.maxv/_xlpm.total&lt;0.5,"Mixed-Class",_xlfn.IFS(_xlpm.maxv=D13,"Assault",_xlpm.maxv=E13,"Engineer",_xlpm.maxv=F13,"Recon",_xlpm.maxv=G13,"Support"))))</f>
        <v>Assault</v>
      </c>
      <c r="J13" t="b">
        <f t="shared" si="1"/>
        <v>1</v>
      </c>
      <c r="K13" s="10">
        <f t="shared" si="2"/>
        <v>0.50214592274678116</v>
      </c>
      <c r="L13" s="11">
        <v>46056</v>
      </c>
    </row>
    <row r="14" spans="1:12" x14ac:dyDescent="0.25">
      <c r="A14" t="s">
        <v>42</v>
      </c>
      <c r="B14">
        <v>127</v>
      </c>
      <c r="C14">
        <v>30755</v>
      </c>
      <c r="D14" s="9">
        <v>108</v>
      </c>
      <c r="E14">
        <v>86</v>
      </c>
      <c r="F14">
        <v>92</v>
      </c>
      <c r="G14">
        <v>71</v>
      </c>
      <c r="H14">
        <f t="shared" ref="H14:H23" si="3">SUM(D14:G14)</f>
        <v>357</v>
      </c>
      <c r="I14" s="9" t="str" cm="1">
        <f t="array" ref="I14">_xlfn.LET(_xlpm.total,SUM(D14:G14),_xlpm.maxv,MAX(D14:G14),IF(_xlpm.total=0,"",IF(_xlpm.maxv/_xlpm.total&lt;0.5,"Mixed-Class",_xlfn.IFS(_xlpm.maxv=D14,"Assault",_xlpm.maxv=E14,"Engineer",_xlpm.maxv=F14,"Recon",_xlpm.maxv=G14,"Support"))))</f>
        <v>Mixed-Class</v>
      </c>
      <c r="J14" t="b">
        <f t="shared" si="1"/>
        <v>0</v>
      </c>
      <c r="K14" s="10">
        <f t="shared" si="2"/>
        <v>0.30252100840336132</v>
      </c>
      <c r="L14" s="11">
        <v>46056</v>
      </c>
    </row>
    <row r="15" spans="1:12" x14ac:dyDescent="0.25">
      <c r="A15" t="s">
        <v>43</v>
      </c>
      <c r="B15">
        <v>137</v>
      </c>
      <c r="C15">
        <v>30244</v>
      </c>
      <c r="D15" s="9">
        <v>208</v>
      </c>
      <c r="E15">
        <v>75</v>
      </c>
      <c r="F15">
        <v>6</v>
      </c>
      <c r="G15">
        <v>23</v>
      </c>
      <c r="H15">
        <f t="shared" si="3"/>
        <v>312</v>
      </c>
      <c r="I15" s="9" t="str" cm="1">
        <f t="array" ref="I15">_xlfn.LET(_xlpm.total,SUM(D15:G15),_xlpm.maxv,MAX(D15:G15),IF(_xlpm.total=0,"",IF(_xlpm.maxv/_xlpm.total&lt;0.5,"Mixed-Class",_xlfn.IFS(_xlpm.maxv=D15,"Assault",_xlpm.maxv=E15,"Engineer",_xlpm.maxv=F15,"Recon",_xlpm.maxv=G15,"Support"))))</f>
        <v>Assault</v>
      </c>
      <c r="J15" t="b">
        <f t="shared" si="1"/>
        <v>1</v>
      </c>
      <c r="K15" s="10">
        <f t="shared" si="2"/>
        <v>0.66666666666666663</v>
      </c>
      <c r="L15" s="11">
        <v>46056</v>
      </c>
    </row>
    <row r="16" spans="1:12" x14ac:dyDescent="0.25">
      <c r="A16" t="s">
        <v>44</v>
      </c>
      <c r="B16">
        <v>147</v>
      </c>
      <c r="C16">
        <v>29728</v>
      </c>
      <c r="D16" s="9">
        <v>218</v>
      </c>
      <c r="E16">
        <v>154</v>
      </c>
      <c r="F16">
        <v>60</v>
      </c>
      <c r="G16">
        <v>267</v>
      </c>
      <c r="H16">
        <f t="shared" si="3"/>
        <v>699</v>
      </c>
      <c r="I16" s="9" t="str" cm="1">
        <f t="array" ref="I16">_xlfn.LET(_xlpm.total,SUM(D16:G16),_xlpm.maxv,MAX(D16:G16),IF(_xlpm.total=0,"",IF(_xlpm.maxv/_xlpm.total&lt;0.5,"Mixed-Class",_xlfn.IFS(_xlpm.maxv=D16,"Assault",_xlpm.maxv=E16,"Engineer",_xlpm.maxv=F16,"Recon",_xlpm.maxv=G16,"Support"))))</f>
        <v>Mixed-Class</v>
      </c>
      <c r="J16" t="b">
        <f t="shared" si="1"/>
        <v>0</v>
      </c>
      <c r="K16" s="10">
        <f t="shared" si="2"/>
        <v>0.38197424892703863</v>
      </c>
      <c r="L16" s="11">
        <v>46056</v>
      </c>
    </row>
    <row r="17" spans="1:12" x14ac:dyDescent="0.25">
      <c r="A17" t="s">
        <v>45</v>
      </c>
      <c r="B17">
        <v>157</v>
      </c>
      <c r="C17">
        <v>29410</v>
      </c>
      <c r="D17" s="9">
        <v>168</v>
      </c>
      <c r="E17">
        <v>148</v>
      </c>
      <c r="F17">
        <v>58</v>
      </c>
      <c r="G17">
        <v>64</v>
      </c>
      <c r="H17">
        <f t="shared" si="3"/>
        <v>438</v>
      </c>
      <c r="I17" s="9" t="str" cm="1">
        <f t="array" ref="I17">_xlfn.LET(_xlpm.total,SUM(D17:G17),_xlpm.maxv,MAX(D17:G17),IF(_xlpm.total=0,"",IF(_xlpm.maxv/_xlpm.total&lt;0.5,"Mixed-Class",_xlfn.IFS(_xlpm.maxv=D17,"Assault",_xlpm.maxv=E17,"Engineer",_xlpm.maxv=F17,"Recon",_xlpm.maxv=G17,"Support"))))</f>
        <v>Mixed-Class</v>
      </c>
      <c r="J17" t="b">
        <f t="shared" si="1"/>
        <v>0</v>
      </c>
      <c r="K17" s="10">
        <f t="shared" si="2"/>
        <v>0.38356164383561642</v>
      </c>
      <c r="L17" s="11">
        <v>46056</v>
      </c>
    </row>
    <row r="18" spans="1:12" x14ac:dyDescent="0.25">
      <c r="A18" t="s">
        <v>46</v>
      </c>
      <c r="B18">
        <v>167</v>
      </c>
      <c r="C18">
        <v>29085</v>
      </c>
      <c r="D18" s="9">
        <v>111</v>
      </c>
      <c r="E18">
        <v>135</v>
      </c>
      <c r="F18">
        <v>121</v>
      </c>
      <c r="G18">
        <v>145</v>
      </c>
      <c r="H18">
        <f t="shared" si="3"/>
        <v>512</v>
      </c>
      <c r="I18" s="9" t="str" cm="1">
        <f t="array" ref="I18">_xlfn.LET(_xlpm.total,SUM(D18:G18),_xlpm.maxv,MAX(D18:G18),IF(_xlpm.total=0,"",IF(_xlpm.maxv/_xlpm.total&lt;0.5,"Mixed-Class",_xlfn.IFS(_xlpm.maxv=D18,"Assault",_xlpm.maxv=E18,"Engineer",_xlpm.maxv=F18,"Recon",_xlpm.maxv=G18,"Support"))))</f>
        <v>Mixed-Class</v>
      </c>
      <c r="J18" t="b">
        <f t="shared" si="1"/>
        <v>0</v>
      </c>
      <c r="K18" s="10">
        <f t="shared" si="2"/>
        <v>0.283203125</v>
      </c>
      <c r="L18" s="11">
        <v>46056</v>
      </c>
    </row>
    <row r="19" spans="1:12" x14ac:dyDescent="0.25">
      <c r="A19" t="s">
        <v>47</v>
      </c>
      <c r="B19">
        <v>177</v>
      </c>
      <c r="C19">
        <v>28774</v>
      </c>
      <c r="D19" s="9">
        <v>76</v>
      </c>
      <c r="E19">
        <v>215</v>
      </c>
      <c r="F19">
        <v>71</v>
      </c>
      <c r="G19">
        <v>85</v>
      </c>
      <c r="H19">
        <f t="shared" si="3"/>
        <v>447</v>
      </c>
      <c r="I19" s="9" t="str" cm="1">
        <f t="array" ref="I19">_xlfn.LET(_xlpm.total,SUM(D19:G19),_xlpm.maxv,MAX(D19:G19),IF(_xlpm.total=0,"",IF(_xlpm.maxv/_xlpm.total&lt;0.5,"Mixed-Class",_xlfn.IFS(_xlpm.maxv=D19,"Assault",_xlpm.maxv=E19,"Engineer",_xlpm.maxv=F19,"Recon",_xlpm.maxv=G19,"Support"))))</f>
        <v>Mixed-Class</v>
      </c>
      <c r="J19" t="b">
        <f t="shared" si="1"/>
        <v>0</v>
      </c>
      <c r="K19" s="10">
        <f t="shared" si="2"/>
        <v>0.48098434004474272</v>
      </c>
      <c r="L19" s="11">
        <v>46056</v>
      </c>
    </row>
    <row r="20" spans="1:12" x14ac:dyDescent="0.25">
      <c r="A20" t="s">
        <v>48</v>
      </c>
      <c r="B20">
        <v>187</v>
      </c>
      <c r="C20">
        <v>28552</v>
      </c>
      <c r="D20" s="9">
        <v>92</v>
      </c>
      <c r="E20">
        <v>29</v>
      </c>
      <c r="F20">
        <v>604</v>
      </c>
      <c r="G20">
        <v>39</v>
      </c>
      <c r="H20">
        <f t="shared" si="3"/>
        <v>764</v>
      </c>
      <c r="I20" s="9" t="str" cm="1">
        <f t="array" ref="I20">_xlfn.LET(_xlpm.total,SUM(D20:G20),_xlpm.maxv,MAX(D20:G20),IF(_xlpm.total=0,"",IF(_xlpm.maxv/_xlpm.total&lt;0.5,"Mixed-Class",_xlfn.IFS(_xlpm.maxv=D20,"Assault",_xlpm.maxv=E20,"Engineer",_xlpm.maxv=F20,"Recon",_xlpm.maxv=G20,"Support"))))</f>
        <v>Recon</v>
      </c>
      <c r="J20" t="b">
        <f t="shared" si="1"/>
        <v>1</v>
      </c>
      <c r="K20" s="10">
        <f t="shared" si="2"/>
        <v>0.79057591623036649</v>
      </c>
      <c r="L20" s="11">
        <v>46056</v>
      </c>
    </row>
    <row r="21" spans="1:12" x14ac:dyDescent="0.25">
      <c r="A21" t="s">
        <v>49</v>
      </c>
      <c r="B21">
        <v>197</v>
      </c>
      <c r="C21">
        <v>28260</v>
      </c>
      <c r="D21" s="9">
        <v>39</v>
      </c>
      <c r="E21">
        <v>27</v>
      </c>
      <c r="F21">
        <v>447</v>
      </c>
      <c r="G21">
        <v>79</v>
      </c>
      <c r="H21">
        <f t="shared" si="3"/>
        <v>592</v>
      </c>
      <c r="I21" s="9" t="str" cm="1">
        <f t="array" ref="I21">_xlfn.LET(_xlpm.total,SUM(D21:G21),_xlpm.maxv,MAX(D21:G21),IF(_xlpm.total=0,"",IF(_xlpm.maxv/_xlpm.total&lt;0.5,"Mixed-Class",_xlfn.IFS(_xlpm.maxv=D21,"Assault",_xlpm.maxv=E21,"Engineer",_xlpm.maxv=F21,"Recon",_xlpm.maxv=G21,"Support"))))</f>
        <v>Recon</v>
      </c>
      <c r="J21" t="b">
        <f t="shared" si="1"/>
        <v>1</v>
      </c>
      <c r="K21" s="10">
        <f t="shared" si="2"/>
        <v>0.75506756756756754</v>
      </c>
      <c r="L21" s="11">
        <v>46056</v>
      </c>
    </row>
    <row r="22" spans="1:12" x14ac:dyDescent="0.25">
      <c r="A22" t="s">
        <v>50</v>
      </c>
      <c r="B22">
        <v>207</v>
      </c>
      <c r="C22">
        <v>28040</v>
      </c>
      <c r="D22" s="9">
        <v>2</v>
      </c>
      <c r="E22">
        <v>119</v>
      </c>
      <c r="F22">
        <v>2</v>
      </c>
      <c r="G22">
        <v>215</v>
      </c>
      <c r="H22">
        <f t="shared" si="3"/>
        <v>338</v>
      </c>
      <c r="I22" s="9" t="str" cm="1">
        <f t="array" ref="I22">_xlfn.LET(_xlpm.total,SUM(D22:G22),_xlpm.maxv,MAX(D22:G22),IF(_xlpm.total=0,"",IF(_xlpm.maxv/_xlpm.total&lt;0.5,"Mixed-Class",_xlfn.IFS(_xlpm.maxv=D22,"Assault",_xlpm.maxv=E22,"Engineer",_xlpm.maxv=F22,"Recon",_xlpm.maxv=G22,"Support"))))</f>
        <v>Support</v>
      </c>
      <c r="J22" t="b">
        <f t="shared" si="1"/>
        <v>1</v>
      </c>
      <c r="K22" s="10">
        <f t="shared" si="2"/>
        <v>0.63609467455621305</v>
      </c>
      <c r="L22" s="11">
        <v>46056</v>
      </c>
    </row>
    <row r="23" spans="1:12" x14ac:dyDescent="0.25">
      <c r="A23" t="s">
        <v>51</v>
      </c>
      <c r="B23">
        <v>217</v>
      </c>
      <c r="C23">
        <v>27905</v>
      </c>
      <c r="D23" s="9">
        <v>222</v>
      </c>
      <c r="E23">
        <v>127</v>
      </c>
      <c r="F23">
        <v>65</v>
      </c>
      <c r="G23">
        <v>59</v>
      </c>
      <c r="H23">
        <f t="shared" si="3"/>
        <v>473</v>
      </c>
      <c r="I23" s="9" t="str" cm="1">
        <f t="array" ref="I23">_xlfn.LET(_xlpm.total,SUM(D23:G23),_xlpm.maxv,MAX(D23:G23),IF(_xlpm.total=0,"",IF(_xlpm.maxv/_xlpm.total&lt;0.5,"Mixed-Class",_xlfn.IFS(_xlpm.maxv=D23,"Assault",_xlpm.maxv=E23,"Engineer",_xlpm.maxv=F23,"Recon",_xlpm.maxv=G23,"Support"))))</f>
        <v>Mixed-Class</v>
      </c>
      <c r="J23" t="b">
        <f t="shared" si="1"/>
        <v>0</v>
      </c>
      <c r="K23" s="10">
        <f t="shared" si="2"/>
        <v>0.46934460887949259</v>
      </c>
      <c r="L23" s="11">
        <v>46056</v>
      </c>
    </row>
    <row r="24" spans="1:12" x14ac:dyDescent="0.25">
      <c r="A24" t="s">
        <v>61</v>
      </c>
      <c r="B24">
        <v>227</v>
      </c>
      <c r="C24">
        <v>27925</v>
      </c>
      <c r="D24" s="9">
        <v>397</v>
      </c>
      <c r="E24">
        <v>83</v>
      </c>
      <c r="F24">
        <v>8</v>
      </c>
      <c r="G24">
        <v>22</v>
      </c>
      <c r="H24">
        <f t="shared" si="0"/>
        <v>510</v>
      </c>
      <c r="I24" s="9" t="str" cm="1">
        <f t="array" ref="I24">_xlfn.LET(_xlpm.total,SUM(D24:G24),_xlpm.maxv,MAX(D24:G24),IF(_xlpm.total=0,"",IF(_xlpm.maxv/_xlpm.total&lt;0.5,"Mixed-Class",_xlfn.IFS(_xlpm.maxv=D24,"Assault",_xlpm.maxv=E24,"Engineer",_xlpm.maxv=F24,"Recon",_xlpm.maxv=G24,"Support"))))</f>
        <v>Assault</v>
      </c>
      <c r="J24" t="b">
        <f t="shared" si="1"/>
        <v>1</v>
      </c>
      <c r="K24" s="10">
        <f t="shared" si="2"/>
        <v>0.77843137254901962</v>
      </c>
      <c r="L24" s="11">
        <v>46057</v>
      </c>
    </row>
    <row r="25" spans="1:12" x14ac:dyDescent="0.25">
      <c r="A25" t="s">
        <v>62</v>
      </c>
      <c r="B25">
        <v>237</v>
      </c>
      <c r="C25">
        <v>27785</v>
      </c>
      <c r="D25" s="9">
        <v>135</v>
      </c>
      <c r="E25">
        <v>227</v>
      </c>
      <c r="F25">
        <v>89</v>
      </c>
      <c r="G25">
        <v>213</v>
      </c>
      <c r="H25">
        <f t="shared" si="0"/>
        <v>664</v>
      </c>
      <c r="I25" s="9" t="str" cm="1">
        <f t="array" ref="I25">_xlfn.LET(_xlpm.total,SUM(D25:G25),_xlpm.maxv,MAX(D25:G25),IF(_xlpm.total=0,"",IF(_xlpm.maxv/_xlpm.total&lt;0.5,"Mixed-Class",_xlfn.IFS(_xlpm.maxv=D25,"Assault",_xlpm.maxv=E25,"Engineer",_xlpm.maxv=F25,"Recon",_xlpm.maxv=G25,"Support"))))</f>
        <v>Mixed-Class</v>
      </c>
      <c r="J25" t="b">
        <f t="shared" si="1"/>
        <v>0</v>
      </c>
      <c r="K25" s="10">
        <f t="shared" si="2"/>
        <v>0.34186746987951805</v>
      </c>
      <c r="L25" s="11">
        <v>46057</v>
      </c>
    </row>
    <row r="26" spans="1:12" x14ac:dyDescent="0.25">
      <c r="A26" t="s">
        <v>63</v>
      </c>
      <c r="B26">
        <v>247</v>
      </c>
      <c r="C26">
        <v>27562</v>
      </c>
      <c r="D26" s="9">
        <v>78</v>
      </c>
      <c r="E26">
        <v>60</v>
      </c>
      <c r="F26">
        <v>61</v>
      </c>
      <c r="G26">
        <v>268</v>
      </c>
      <c r="H26">
        <f t="shared" si="0"/>
        <v>467</v>
      </c>
      <c r="I26" s="9" t="str" cm="1">
        <f t="array" ref="I26">_xlfn.LET(_xlpm.total,SUM(D26:G26),_xlpm.maxv,MAX(D26:G26),IF(_xlpm.total=0,"",IF(_xlpm.maxv/_xlpm.total&lt;0.5,"Mixed-Class",_xlfn.IFS(_xlpm.maxv=D26,"Assault",_xlpm.maxv=E26,"Engineer",_xlpm.maxv=F26,"Recon",_xlpm.maxv=G26,"Support"))))</f>
        <v>Support</v>
      </c>
      <c r="J26" t="b">
        <f t="shared" si="1"/>
        <v>1</v>
      </c>
      <c r="K26" s="10">
        <f t="shared" si="2"/>
        <v>0.57387580299785867</v>
      </c>
      <c r="L26" s="11">
        <v>46057</v>
      </c>
    </row>
    <row r="27" spans="1:12" x14ac:dyDescent="0.25">
      <c r="A27" t="s">
        <v>64</v>
      </c>
      <c r="B27">
        <v>257</v>
      </c>
      <c r="C27">
        <v>27357</v>
      </c>
      <c r="D27" s="9">
        <v>3</v>
      </c>
      <c r="E27">
        <v>9</v>
      </c>
      <c r="F27">
        <v>312</v>
      </c>
      <c r="G27">
        <v>390</v>
      </c>
      <c r="H27">
        <f t="shared" si="0"/>
        <v>714</v>
      </c>
      <c r="I27" s="9" t="str" cm="1">
        <f t="array" ref="I27">_xlfn.LET(_xlpm.total,SUM(D27:G27),_xlpm.maxv,MAX(D27:G27),IF(_xlpm.total=0,"",IF(_xlpm.maxv/_xlpm.total&lt;0.5,"Mixed-Class",_xlfn.IFS(_xlpm.maxv=D27,"Assault",_xlpm.maxv=E27,"Engineer",_xlpm.maxv=F27,"Recon",_xlpm.maxv=G27,"Support"))))</f>
        <v>Support</v>
      </c>
      <c r="J27" t="b">
        <f t="shared" si="1"/>
        <v>1</v>
      </c>
      <c r="K27" s="10">
        <f t="shared" si="2"/>
        <v>0.54621848739495793</v>
      </c>
      <c r="L27" s="11">
        <v>46057</v>
      </c>
    </row>
    <row r="28" spans="1:12" x14ac:dyDescent="0.25">
      <c r="A28" t="s">
        <v>65</v>
      </c>
      <c r="B28">
        <v>267</v>
      </c>
      <c r="C28">
        <v>27108</v>
      </c>
      <c r="D28" s="9">
        <v>4</v>
      </c>
      <c r="E28">
        <v>71</v>
      </c>
      <c r="F28">
        <v>106</v>
      </c>
      <c r="G28">
        <v>196</v>
      </c>
      <c r="H28">
        <f t="shared" si="0"/>
        <v>377</v>
      </c>
      <c r="I28" s="9" t="str" cm="1">
        <f t="array" ref="I28">_xlfn.LET(_xlpm.total,SUM(D28:G28),_xlpm.maxv,MAX(D28:G28),IF(_xlpm.total=0,"",IF(_xlpm.maxv/_xlpm.total&lt;0.5,"Mixed-Class",_xlfn.IFS(_xlpm.maxv=D28,"Assault",_xlpm.maxv=E28,"Engineer",_xlpm.maxv=F28,"Recon",_xlpm.maxv=G28,"Support"))))</f>
        <v>Support</v>
      </c>
      <c r="J28" t="b">
        <f t="shared" si="1"/>
        <v>1</v>
      </c>
      <c r="K28" s="10">
        <f t="shared" si="2"/>
        <v>0.519893899204244</v>
      </c>
      <c r="L28" s="11">
        <v>46057</v>
      </c>
    </row>
    <row r="29" spans="1:12" x14ac:dyDescent="0.25">
      <c r="A29" t="s">
        <v>66</v>
      </c>
      <c r="B29">
        <v>277</v>
      </c>
      <c r="C29">
        <v>26946</v>
      </c>
      <c r="D29" s="9">
        <v>15</v>
      </c>
      <c r="E29">
        <v>366</v>
      </c>
      <c r="F29">
        <v>65</v>
      </c>
      <c r="G29">
        <v>86</v>
      </c>
      <c r="H29">
        <f t="shared" si="0"/>
        <v>532</v>
      </c>
      <c r="I29" s="9" t="str" cm="1">
        <f t="array" ref="I29">_xlfn.LET(_xlpm.total,SUM(D29:G29),_xlpm.maxv,MAX(D29:G29),IF(_xlpm.total=0,"",IF(_xlpm.maxv/_xlpm.total&lt;0.5,"Mixed-Class",_xlfn.IFS(_xlpm.maxv=D29,"Assault",_xlpm.maxv=E29,"Engineer",_xlpm.maxv=F29,"Recon",_xlpm.maxv=G29,"Support"))))</f>
        <v>Engineer</v>
      </c>
      <c r="J29" t="b">
        <f t="shared" si="1"/>
        <v>1</v>
      </c>
      <c r="K29" s="10">
        <f t="shared" si="2"/>
        <v>0.68796992481203012</v>
      </c>
      <c r="L29" s="11">
        <v>46057</v>
      </c>
    </row>
    <row r="30" spans="1:12" x14ac:dyDescent="0.25">
      <c r="A30" t="s">
        <v>67</v>
      </c>
      <c r="B30">
        <v>287</v>
      </c>
      <c r="C30">
        <v>26798</v>
      </c>
      <c r="D30" s="9">
        <v>22</v>
      </c>
      <c r="E30">
        <v>109</v>
      </c>
      <c r="F30">
        <v>137</v>
      </c>
      <c r="G30">
        <v>228</v>
      </c>
      <c r="H30">
        <f t="shared" si="0"/>
        <v>496</v>
      </c>
      <c r="I30" s="9" t="str" cm="1">
        <f t="array" ref="I30">_xlfn.LET(_xlpm.total,SUM(D30:G30),_xlpm.maxv,MAX(D30:G30),IF(_xlpm.total=0,"",IF(_xlpm.maxv/_xlpm.total&lt;0.5,"Mixed-Class",_xlfn.IFS(_xlpm.maxv=D30,"Assault",_xlpm.maxv=E30,"Engineer",_xlpm.maxv=F30,"Recon",_xlpm.maxv=G30,"Support"))))</f>
        <v>Mixed-Class</v>
      </c>
      <c r="J30" t="b">
        <f t="shared" si="1"/>
        <v>0</v>
      </c>
      <c r="K30" s="10">
        <f t="shared" si="2"/>
        <v>0.45967741935483869</v>
      </c>
      <c r="L30" s="11">
        <v>46057</v>
      </c>
    </row>
    <row r="31" spans="1:12" x14ac:dyDescent="0.25">
      <c r="A31" t="s">
        <v>68</v>
      </c>
      <c r="B31">
        <v>297</v>
      </c>
      <c r="C31">
        <v>26644</v>
      </c>
      <c r="D31" s="9">
        <v>90</v>
      </c>
      <c r="E31">
        <v>190</v>
      </c>
      <c r="F31">
        <v>86</v>
      </c>
      <c r="G31">
        <v>56</v>
      </c>
      <c r="H31">
        <f t="shared" si="0"/>
        <v>422</v>
      </c>
      <c r="I31" s="9" t="str" cm="1">
        <f t="array" ref="I31">_xlfn.LET(_xlpm.total,SUM(D31:G31),_xlpm.maxv,MAX(D31:G31),IF(_xlpm.total=0,"",IF(_xlpm.maxv/_xlpm.total&lt;0.5,"Mixed-Class",_xlfn.IFS(_xlpm.maxv=D31,"Assault",_xlpm.maxv=E31,"Engineer",_xlpm.maxv=F31,"Recon",_xlpm.maxv=G31,"Support"))))</f>
        <v>Mixed-Class</v>
      </c>
      <c r="J31" t="b">
        <f t="shared" si="1"/>
        <v>0</v>
      </c>
      <c r="K31" s="10">
        <f t="shared" si="2"/>
        <v>0.45023696682464454</v>
      </c>
      <c r="L31" s="11">
        <v>46057</v>
      </c>
    </row>
    <row r="32" spans="1:12" x14ac:dyDescent="0.25">
      <c r="A32" t="s">
        <v>69</v>
      </c>
      <c r="B32">
        <v>307</v>
      </c>
      <c r="C32">
        <v>26542</v>
      </c>
      <c r="D32" s="9">
        <v>122</v>
      </c>
      <c r="E32">
        <v>43</v>
      </c>
      <c r="F32">
        <v>59</v>
      </c>
      <c r="G32">
        <v>236</v>
      </c>
      <c r="H32">
        <f t="shared" si="0"/>
        <v>460</v>
      </c>
      <c r="I32" s="9" t="str" cm="1">
        <f t="array" ref="I32">_xlfn.LET(_xlpm.total,SUM(D32:G32),_xlpm.maxv,MAX(D32:G32),IF(_xlpm.total=0,"",IF(_xlpm.maxv/_xlpm.total&lt;0.5,"Mixed-Class",_xlfn.IFS(_xlpm.maxv=D32,"Assault",_xlpm.maxv=E32,"Engineer",_xlpm.maxv=F32,"Recon",_xlpm.maxv=G32,"Support"))))</f>
        <v>Support</v>
      </c>
      <c r="J32" t="b">
        <f t="shared" si="1"/>
        <v>1</v>
      </c>
      <c r="K32" s="10">
        <f t="shared" ref="K32:K40" si="4">_xlfn.LET(_xlpm.total,SUM(D32:G32),IF(_xlpm.total=0,"",MAX(D32:G32)/_xlpm.total))</f>
        <v>0.5130434782608696</v>
      </c>
      <c r="L32" s="11">
        <v>46057</v>
      </c>
    </row>
    <row r="33" spans="1:12" x14ac:dyDescent="0.25">
      <c r="A33" t="s">
        <v>70</v>
      </c>
      <c r="B33">
        <v>317</v>
      </c>
      <c r="C33">
        <v>26418</v>
      </c>
      <c r="D33" s="9">
        <v>85</v>
      </c>
      <c r="E33">
        <v>250</v>
      </c>
      <c r="F33">
        <v>25</v>
      </c>
      <c r="G33">
        <v>87</v>
      </c>
      <c r="H33">
        <f t="shared" si="0"/>
        <v>447</v>
      </c>
      <c r="I33" s="9" t="str" cm="1">
        <f t="array" ref="I33">_xlfn.LET(_xlpm.total,SUM(D33:G33),_xlpm.maxv,MAX(D33:G33),IF(_xlpm.total=0,"",IF(_xlpm.maxv/_xlpm.total&lt;0.5,"Mixed-Class",_xlfn.IFS(_xlpm.maxv=D33,"Assault",_xlpm.maxv=E33,"Engineer",_xlpm.maxv=F33,"Recon",_xlpm.maxv=G33,"Support"))))</f>
        <v>Engineer</v>
      </c>
      <c r="J33" t="b">
        <f t="shared" si="1"/>
        <v>1</v>
      </c>
      <c r="K33" s="10">
        <f t="shared" si="4"/>
        <v>0.5592841163310962</v>
      </c>
      <c r="L33" s="11">
        <v>46057</v>
      </c>
    </row>
    <row r="34" spans="1:12" x14ac:dyDescent="0.25">
      <c r="A34" t="s">
        <v>71</v>
      </c>
      <c r="B34">
        <v>327</v>
      </c>
      <c r="C34">
        <v>26273</v>
      </c>
      <c r="D34" s="9">
        <v>5</v>
      </c>
      <c r="E34">
        <v>4</v>
      </c>
      <c r="F34">
        <v>5</v>
      </c>
      <c r="G34">
        <v>502</v>
      </c>
      <c r="H34">
        <f t="shared" si="0"/>
        <v>516</v>
      </c>
      <c r="I34" s="9" t="str" cm="1">
        <f t="array" ref="I34">_xlfn.LET(_xlpm.total,SUM(D34:G34),_xlpm.maxv,MAX(D34:G34),IF(_xlpm.total=0,"",IF(_xlpm.maxv/_xlpm.total&lt;0.5,"Mixed-Class",_xlfn.IFS(_xlpm.maxv=D34,"Assault",_xlpm.maxv=E34,"Engineer",_xlpm.maxv=F34,"Recon",_xlpm.maxv=G34,"Support"))))</f>
        <v>Support</v>
      </c>
      <c r="J34" t="b">
        <f t="shared" si="1"/>
        <v>1</v>
      </c>
      <c r="K34" s="10">
        <f t="shared" si="4"/>
        <v>0.97286821705426352</v>
      </c>
      <c r="L34" s="11">
        <v>46057</v>
      </c>
    </row>
    <row r="35" spans="1:12" x14ac:dyDescent="0.25">
      <c r="A35" t="s">
        <v>72</v>
      </c>
      <c r="B35">
        <v>337</v>
      </c>
      <c r="C35">
        <v>26170</v>
      </c>
      <c r="D35" s="9">
        <v>63</v>
      </c>
      <c r="E35">
        <v>315</v>
      </c>
      <c r="F35">
        <v>36</v>
      </c>
      <c r="G35">
        <v>30</v>
      </c>
      <c r="H35">
        <f t="shared" si="0"/>
        <v>444</v>
      </c>
      <c r="I35" s="9" t="str" cm="1">
        <f t="array" ref="I35">_xlfn.LET(_xlpm.total,SUM(D35:G35),_xlpm.maxv,MAX(D35:G35),IF(_xlpm.total=0,"",IF(_xlpm.maxv/_xlpm.total&lt;0.5,"Mixed-Class",_xlfn.IFS(_xlpm.maxv=D35,"Assault",_xlpm.maxv=E35,"Engineer",_xlpm.maxv=F35,"Recon",_xlpm.maxv=G35,"Support"))))</f>
        <v>Engineer</v>
      </c>
      <c r="J35" t="b">
        <f t="shared" si="1"/>
        <v>1</v>
      </c>
      <c r="K35" s="10">
        <f t="shared" si="4"/>
        <v>0.70945945945945943</v>
      </c>
      <c r="L35" s="11">
        <v>46057</v>
      </c>
    </row>
    <row r="36" spans="1:12" x14ac:dyDescent="0.25">
      <c r="A36" t="s">
        <v>73</v>
      </c>
      <c r="B36">
        <v>347</v>
      </c>
      <c r="C36">
        <v>26057</v>
      </c>
      <c r="D36" s="9">
        <v>109</v>
      </c>
      <c r="E36">
        <v>140</v>
      </c>
      <c r="F36">
        <v>336</v>
      </c>
      <c r="G36">
        <v>34</v>
      </c>
      <c r="H36">
        <f t="shared" si="0"/>
        <v>619</v>
      </c>
      <c r="I36" s="9" t="str" cm="1">
        <f t="array" ref="I36">_xlfn.LET(_xlpm.total,SUM(D36:G36),_xlpm.maxv,MAX(D36:G36),IF(_xlpm.total=0,"",IF(_xlpm.maxv/_xlpm.total&lt;0.5,"Mixed-Class",_xlfn.IFS(_xlpm.maxv=D36,"Assault",_xlpm.maxv=E36,"Engineer",_xlpm.maxv=F36,"Recon",_xlpm.maxv=G36,"Support"))))</f>
        <v>Recon</v>
      </c>
      <c r="J36" t="b">
        <f t="shared" si="1"/>
        <v>1</v>
      </c>
      <c r="K36" s="10">
        <f t="shared" si="4"/>
        <v>0.54281098546042006</v>
      </c>
      <c r="L36" s="11">
        <v>46057</v>
      </c>
    </row>
    <row r="37" spans="1:12" x14ac:dyDescent="0.25">
      <c r="A37" t="s">
        <v>74</v>
      </c>
      <c r="B37">
        <v>357</v>
      </c>
      <c r="C37">
        <v>25922</v>
      </c>
      <c r="D37" s="9">
        <v>195</v>
      </c>
      <c r="E37">
        <v>102</v>
      </c>
      <c r="F37">
        <v>96</v>
      </c>
      <c r="G37">
        <v>75</v>
      </c>
      <c r="H37">
        <f t="shared" si="0"/>
        <v>468</v>
      </c>
      <c r="I37" s="9" t="str" cm="1">
        <f t="array" ref="I37">_xlfn.LET(_xlpm.total,SUM(D37:G37),_xlpm.maxv,MAX(D37:G37),IF(_xlpm.total=0,"",IF(_xlpm.maxv/_xlpm.total&lt;0.5,"Mixed-Class",_xlfn.IFS(_xlpm.maxv=D37,"Assault",_xlpm.maxv=E37,"Engineer",_xlpm.maxv=F37,"Recon",_xlpm.maxv=G37,"Support"))))</f>
        <v>Mixed-Class</v>
      </c>
      <c r="J37" t="b">
        <f t="shared" si="1"/>
        <v>0</v>
      </c>
      <c r="K37" s="10">
        <f t="shared" si="4"/>
        <v>0.41666666666666669</v>
      </c>
      <c r="L37" s="11">
        <v>46057</v>
      </c>
    </row>
    <row r="38" spans="1:12" x14ac:dyDescent="0.25">
      <c r="A38" t="s">
        <v>75</v>
      </c>
      <c r="B38">
        <v>367</v>
      </c>
      <c r="C38">
        <v>25774</v>
      </c>
      <c r="D38" s="9">
        <v>181</v>
      </c>
      <c r="E38">
        <v>137</v>
      </c>
      <c r="F38">
        <v>75</v>
      </c>
      <c r="G38">
        <v>73</v>
      </c>
      <c r="H38">
        <f>SUM(D39:G39)</f>
        <v>569</v>
      </c>
      <c r="I38" s="9" t="str" cm="1">
        <f t="array" ref="I38">_xlfn.LET(_xlpm.total,SUM(D38:G38),_xlpm.maxv,MAX(D38:G38),IF(_xlpm.total=0,"",IF(_xlpm.maxv/_xlpm.total&lt;0.5,"Mixed-Class",_xlfn.IFS(_xlpm.maxv=D38,"Assault",_xlpm.maxv=E38,"Engineer",_xlpm.maxv=F38,"Recon",_xlpm.maxv=G38,"Support"))))</f>
        <v>Mixed-Class</v>
      </c>
      <c r="J38" t="b">
        <f t="shared" si="1"/>
        <v>0</v>
      </c>
      <c r="K38" s="10">
        <f t="shared" si="4"/>
        <v>0.388412017167382</v>
      </c>
      <c r="L38" s="11">
        <v>46057</v>
      </c>
    </row>
    <row r="39" spans="1:12" x14ac:dyDescent="0.25">
      <c r="A39" t="s">
        <v>76</v>
      </c>
      <c r="B39">
        <v>377</v>
      </c>
      <c r="C39">
        <v>25676</v>
      </c>
      <c r="D39" s="9">
        <v>105</v>
      </c>
      <c r="E39">
        <v>173</v>
      </c>
      <c r="F39">
        <v>121</v>
      </c>
      <c r="G39">
        <v>170</v>
      </c>
      <c r="H39">
        <f t="shared" si="0"/>
        <v>569</v>
      </c>
      <c r="I39" s="9" t="str" cm="1">
        <f t="array" ref="I39">_xlfn.LET(_xlpm.total,SUM(D39:G39),_xlpm.maxv,MAX(D39:G39),IF(_xlpm.total=0,"",IF(_xlpm.maxv/_xlpm.total&lt;0.5,"Mixed-Class",_xlfn.IFS(_xlpm.maxv=D39,"Assault",_xlpm.maxv=E39,"Engineer",_xlpm.maxv=F39,"Recon",_xlpm.maxv=G39,"Support"))))</f>
        <v>Mixed-Class</v>
      </c>
      <c r="J39" t="b">
        <f t="shared" si="1"/>
        <v>0</v>
      </c>
      <c r="K39" s="10">
        <f t="shared" si="4"/>
        <v>0.30404217926186294</v>
      </c>
      <c r="L39" s="11">
        <v>46057</v>
      </c>
    </row>
    <row r="40" spans="1:12" x14ac:dyDescent="0.25">
      <c r="A40" t="s">
        <v>77</v>
      </c>
      <c r="B40">
        <v>387</v>
      </c>
      <c r="C40">
        <v>25566</v>
      </c>
      <c r="D40" s="9">
        <v>143</v>
      </c>
      <c r="E40">
        <v>172</v>
      </c>
      <c r="F40">
        <v>78</v>
      </c>
      <c r="G40">
        <v>118</v>
      </c>
      <c r="H40">
        <f t="shared" si="0"/>
        <v>511</v>
      </c>
      <c r="I40" s="9" t="str" cm="1">
        <f t="array" ref="I40">_xlfn.LET(_xlpm.total,SUM(D40:G40),_xlpm.maxv,MAX(D40:G40),IF(_xlpm.total=0,"",IF(_xlpm.maxv/_xlpm.total&lt;0.5,"Mixed-Class",_xlfn.IFS(_xlpm.maxv=D40,"Assault",_xlpm.maxv=E40,"Engineer",_xlpm.maxv=F40,"Recon",_xlpm.maxv=G40,"Support"))))</f>
        <v>Mixed-Class</v>
      </c>
      <c r="J40" t="b">
        <f t="shared" si="1"/>
        <v>0</v>
      </c>
      <c r="K40" s="10">
        <f t="shared" si="4"/>
        <v>0.33659491193737767</v>
      </c>
      <c r="L40" s="11">
        <v>46057</v>
      </c>
    </row>
    <row r="41" spans="1:12" x14ac:dyDescent="0.25">
      <c r="A41" t="s">
        <v>78</v>
      </c>
      <c r="B41">
        <v>397</v>
      </c>
      <c r="C41">
        <v>25485</v>
      </c>
      <c r="D41" s="9">
        <v>13</v>
      </c>
      <c r="E41">
        <v>25</v>
      </c>
      <c r="F41">
        <v>349</v>
      </c>
      <c r="G41">
        <v>24</v>
      </c>
      <c r="H41">
        <f t="shared" si="0"/>
        <v>411</v>
      </c>
      <c r="I41" s="9" t="str" cm="1">
        <f t="array" ref="I41">_xlfn.LET(_xlpm.total,SUM(D41:G41),_xlpm.maxv,MAX(D41:G41),IF(_xlpm.total=0,"",IF(_xlpm.maxv/_xlpm.total&lt;0.5,"Mixed-Class",_xlfn.IFS(_xlpm.maxv=D41,"Assault",_xlpm.maxv=E41,"Engineer",_xlpm.maxv=F41,"Recon",_xlpm.maxv=G41,"Support"))))</f>
        <v>Recon</v>
      </c>
      <c r="J41" t="b">
        <f t="shared" si="1"/>
        <v>1</v>
      </c>
      <c r="K41" s="10">
        <f t="shared" ref="K41" si="5">_xlfn.LET(_xlpm.total,SUM(D41:G41),IF(_xlpm.total=0,"",MAX(D41:G41)/_xlpm.total))</f>
        <v>0.84914841849148415</v>
      </c>
      <c r="L41" s="11">
        <v>46057</v>
      </c>
    </row>
    <row r="42" spans="1:12" x14ac:dyDescent="0.25">
      <c r="A42" t="s">
        <v>79</v>
      </c>
      <c r="B42">
        <v>407</v>
      </c>
      <c r="C42">
        <v>25413</v>
      </c>
      <c r="D42" s="9">
        <v>108</v>
      </c>
      <c r="E42">
        <v>173</v>
      </c>
      <c r="F42">
        <v>26</v>
      </c>
      <c r="G42">
        <v>69</v>
      </c>
      <c r="H42">
        <f t="shared" si="0"/>
        <v>376</v>
      </c>
      <c r="I42" s="9" t="str" cm="1">
        <f t="array" ref="I42">_xlfn.LET(_xlpm.total,SUM(D42:G42),_xlpm.maxv,MAX(D42:G42),IF(_xlpm.total=0,"",IF(_xlpm.maxv/_xlpm.total&lt;0.5,"Mixed-Class",_xlfn.IFS(_xlpm.maxv=D42,"Assault",_xlpm.maxv=E42,"Engineer",_xlpm.maxv=F42,"Recon",_xlpm.maxv=G42,"Support"))))</f>
        <v>Mixed-Class</v>
      </c>
      <c r="J42" t="b">
        <f t="shared" si="1"/>
        <v>0</v>
      </c>
      <c r="K42" s="10">
        <f t="shared" si="2"/>
        <v>0.46010638297872342</v>
      </c>
      <c r="L42" s="11">
        <v>46057</v>
      </c>
    </row>
    <row r="43" spans="1:12" x14ac:dyDescent="0.25">
      <c r="A43" t="s">
        <v>80</v>
      </c>
      <c r="B43">
        <v>417</v>
      </c>
      <c r="C43">
        <v>25303</v>
      </c>
      <c r="D43" s="9">
        <v>92</v>
      </c>
      <c r="E43">
        <v>129</v>
      </c>
      <c r="F43">
        <v>45</v>
      </c>
      <c r="G43">
        <v>159</v>
      </c>
      <c r="H43">
        <f t="shared" si="0"/>
        <v>425</v>
      </c>
      <c r="I43" s="9" t="str" cm="1">
        <f t="array" ref="I43">_xlfn.LET(_xlpm.total,SUM(D43:G43),_xlpm.maxv,MAX(D43:G43),IF(_xlpm.total=0,"",IF(_xlpm.maxv/_xlpm.total&lt;0.5,"Mixed-Class",_xlfn.IFS(_xlpm.maxv=D43,"Assault",_xlpm.maxv=E43,"Engineer",_xlpm.maxv=F43,"Recon",_xlpm.maxv=G43,"Support"))))</f>
        <v>Mixed-Class</v>
      </c>
      <c r="J43" t="b">
        <f t="shared" si="1"/>
        <v>0</v>
      </c>
      <c r="K43" s="10">
        <f t="shared" ref="K43:K51" si="6">_xlfn.LET(_xlpm.total,SUM(D43:G43),IF(_xlpm.total=0,"",MAX(D43:G43)/_xlpm.total))</f>
        <v>0.37411764705882355</v>
      </c>
      <c r="L43" s="11">
        <v>46057</v>
      </c>
    </row>
    <row r="44" spans="1:12" x14ac:dyDescent="0.25">
      <c r="A44" t="s">
        <v>81</v>
      </c>
      <c r="B44">
        <v>427</v>
      </c>
      <c r="C44">
        <v>25192</v>
      </c>
      <c r="D44" s="9">
        <v>14</v>
      </c>
      <c r="E44">
        <v>15</v>
      </c>
      <c r="F44">
        <v>28</v>
      </c>
      <c r="G44">
        <v>177</v>
      </c>
      <c r="H44">
        <f t="shared" si="0"/>
        <v>234</v>
      </c>
      <c r="I44" s="9" t="str" cm="1">
        <f t="array" ref="I44">_xlfn.LET(_xlpm.total,SUM(D44:G44),_xlpm.maxv,MAX(D44:G44),IF(_xlpm.total=0,"",IF(_xlpm.maxv/_xlpm.total&lt;0.5,"Mixed-Class",_xlfn.IFS(_xlpm.maxv=D44,"Assault",_xlpm.maxv=E44,"Engineer",_xlpm.maxv=F44,"Recon",_xlpm.maxv=G44,"Support"))))</f>
        <v>Support</v>
      </c>
      <c r="J44" t="b">
        <f t="shared" si="1"/>
        <v>1</v>
      </c>
      <c r="K44" s="10">
        <f t="shared" si="6"/>
        <v>0.75641025641025639</v>
      </c>
      <c r="L44" s="11">
        <v>46057</v>
      </c>
    </row>
    <row r="45" spans="1:12" x14ac:dyDescent="0.25">
      <c r="A45" t="s">
        <v>82</v>
      </c>
      <c r="B45">
        <v>437</v>
      </c>
      <c r="C45">
        <v>25142</v>
      </c>
      <c r="D45" s="9">
        <v>55</v>
      </c>
      <c r="E45">
        <v>41</v>
      </c>
      <c r="F45">
        <v>110</v>
      </c>
      <c r="G45">
        <v>274</v>
      </c>
      <c r="H45">
        <f t="shared" si="0"/>
        <v>480</v>
      </c>
      <c r="I45" s="9" t="str" cm="1">
        <f t="array" ref="I45">_xlfn.LET(_xlpm.total,SUM(D45:G45),_xlpm.maxv,MAX(D45:G45),IF(_xlpm.total=0,"",IF(_xlpm.maxv/_xlpm.total&lt;0.5,"Mixed-Class",_xlfn.IFS(_xlpm.maxv=D45,"Assault",_xlpm.maxv=E45,"Engineer",_xlpm.maxv=F45,"Recon",_xlpm.maxv=G45,"Support"))))</f>
        <v>Support</v>
      </c>
      <c r="J45" t="b">
        <f t="shared" si="1"/>
        <v>1</v>
      </c>
      <c r="K45" s="10">
        <f t="shared" si="6"/>
        <v>0.5708333333333333</v>
      </c>
      <c r="L45" s="11">
        <v>46057</v>
      </c>
    </row>
    <row r="46" spans="1:12" x14ac:dyDescent="0.25">
      <c r="A46" t="s">
        <v>83</v>
      </c>
      <c r="B46">
        <v>447</v>
      </c>
      <c r="C46">
        <v>25048</v>
      </c>
      <c r="D46" s="9">
        <v>184</v>
      </c>
      <c r="E46">
        <v>76</v>
      </c>
      <c r="F46">
        <v>35</v>
      </c>
      <c r="G46">
        <v>169</v>
      </c>
      <c r="H46">
        <f t="shared" si="0"/>
        <v>464</v>
      </c>
      <c r="I46" s="9" t="str" cm="1">
        <f t="array" ref="I46">_xlfn.LET(_xlpm.total,SUM(D46:G46),_xlpm.maxv,MAX(D46:G46),IF(_xlpm.total=0,"",IF(_xlpm.maxv/_xlpm.total&lt;0.5,"Mixed-Class",_xlfn.IFS(_xlpm.maxv=D46,"Assault",_xlpm.maxv=E46,"Engineer",_xlpm.maxv=F46,"Recon",_xlpm.maxv=G46,"Support"))))</f>
        <v>Mixed-Class</v>
      </c>
      <c r="J46" t="b">
        <f t="shared" si="1"/>
        <v>0</v>
      </c>
      <c r="K46" s="10">
        <f t="shared" si="6"/>
        <v>0.39655172413793105</v>
      </c>
      <c r="L46" s="11">
        <v>46057</v>
      </c>
    </row>
    <row r="47" spans="1:12" x14ac:dyDescent="0.25">
      <c r="A47" t="s">
        <v>84</v>
      </c>
      <c r="B47">
        <v>457</v>
      </c>
      <c r="C47">
        <v>24969</v>
      </c>
      <c r="D47" s="9">
        <v>210</v>
      </c>
      <c r="E47">
        <v>198</v>
      </c>
      <c r="F47">
        <v>163</v>
      </c>
      <c r="G47">
        <v>212</v>
      </c>
      <c r="H47">
        <f t="shared" si="0"/>
        <v>783</v>
      </c>
      <c r="I47" s="9" t="str" cm="1">
        <f t="array" ref="I47">_xlfn.LET(_xlpm.total,SUM(D47:G47),_xlpm.maxv,MAX(D47:G47),IF(_xlpm.total=0,"",IF(_xlpm.maxv/_xlpm.total&lt;0.5,"Mixed-Class",_xlfn.IFS(_xlpm.maxv=D47,"Assault",_xlpm.maxv=E47,"Engineer",_xlpm.maxv=F47,"Recon",_xlpm.maxv=G47,"Support"))))</f>
        <v>Mixed-Class</v>
      </c>
      <c r="J47" t="b">
        <f t="shared" si="1"/>
        <v>0</v>
      </c>
      <c r="K47" s="10">
        <f t="shared" si="6"/>
        <v>0.2707535121328225</v>
      </c>
      <c r="L47" s="11">
        <v>46057</v>
      </c>
    </row>
    <row r="48" spans="1:12" x14ac:dyDescent="0.25">
      <c r="A48" t="s">
        <v>85</v>
      </c>
      <c r="B48">
        <v>467</v>
      </c>
      <c r="C48">
        <v>24791</v>
      </c>
      <c r="D48" s="9">
        <v>237</v>
      </c>
      <c r="E48">
        <v>4.5</v>
      </c>
      <c r="F48">
        <v>0.5</v>
      </c>
      <c r="G48">
        <v>52</v>
      </c>
      <c r="H48">
        <f t="shared" si="0"/>
        <v>294</v>
      </c>
      <c r="I48" s="9" t="str" cm="1">
        <f t="array" ref="I48">_xlfn.LET(_xlpm.total,SUM(D48:G48),_xlpm.maxv,MAX(D48:G48),IF(_xlpm.total=0,"",IF(_xlpm.maxv/_xlpm.total&lt;0.5,"Mixed-Class",_xlfn.IFS(_xlpm.maxv=D48,"Assault",_xlpm.maxv=E48,"Engineer",_xlpm.maxv=F48,"Recon",_xlpm.maxv=G48,"Support"))))</f>
        <v>Assault</v>
      </c>
      <c r="J48" t="b">
        <f t="shared" si="1"/>
        <v>1</v>
      </c>
      <c r="K48" s="10">
        <f t="shared" si="6"/>
        <v>0.80612244897959184</v>
      </c>
      <c r="L48" s="11">
        <v>46057</v>
      </c>
    </row>
    <row r="49" spans="1:12" x14ac:dyDescent="0.25">
      <c r="A49" t="s">
        <v>86</v>
      </c>
      <c r="B49">
        <v>477</v>
      </c>
      <c r="C49">
        <v>24684</v>
      </c>
      <c r="D49" s="9">
        <v>109</v>
      </c>
      <c r="E49">
        <v>93</v>
      </c>
      <c r="F49">
        <v>114</v>
      </c>
      <c r="G49">
        <v>86</v>
      </c>
      <c r="H49">
        <f t="shared" si="0"/>
        <v>402</v>
      </c>
      <c r="I49" s="9" t="str" cm="1">
        <f t="array" ref="I49">_xlfn.LET(_xlpm.total,SUM(D49:G49),_xlpm.maxv,MAX(D49:G49),IF(_xlpm.total=0,"",IF(_xlpm.maxv/_xlpm.total&lt;0.5,"Mixed-Class",_xlfn.IFS(_xlpm.maxv=D49,"Assault",_xlpm.maxv=E49,"Engineer",_xlpm.maxv=F49,"Recon",_xlpm.maxv=G49,"Support"))))</f>
        <v>Mixed-Class</v>
      </c>
      <c r="J49" t="b">
        <f t="shared" si="1"/>
        <v>0</v>
      </c>
      <c r="K49" s="10">
        <f t="shared" si="6"/>
        <v>0.28358208955223879</v>
      </c>
      <c r="L49" s="11">
        <v>46057</v>
      </c>
    </row>
    <row r="50" spans="1:12" x14ac:dyDescent="0.25">
      <c r="A50" t="s">
        <v>87</v>
      </c>
      <c r="B50">
        <v>487</v>
      </c>
      <c r="C50">
        <v>24622</v>
      </c>
      <c r="D50" s="9">
        <v>138</v>
      </c>
      <c r="E50">
        <v>481</v>
      </c>
      <c r="F50">
        <v>77</v>
      </c>
      <c r="G50">
        <v>46</v>
      </c>
      <c r="H50">
        <f t="shared" si="0"/>
        <v>742</v>
      </c>
      <c r="I50" s="9" t="str" cm="1">
        <f t="array" ref="I50">_xlfn.LET(_xlpm.total,SUM(D50:G50),_xlpm.maxv,MAX(D50:G50),IF(_xlpm.total=0,"",IF(_xlpm.maxv/_xlpm.total&lt;0.5,"Mixed-Class",_xlfn.IFS(_xlpm.maxv=D50,"Assault",_xlpm.maxv=E50,"Engineer",_xlpm.maxv=F50,"Recon",_xlpm.maxv=G50,"Support"))))</f>
        <v>Engineer</v>
      </c>
      <c r="J50" t="b">
        <f t="shared" si="1"/>
        <v>1</v>
      </c>
      <c r="K50" s="10">
        <f t="shared" si="6"/>
        <v>0.64824797843665771</v>
      </c>
      <c r="L50" s="11">
        <v>46057</v>
      </c>
    </row>
    <row r="51" spans="1:12" x14ac:dyDescent="0.25">
      <c r="A51" t="s">
        <v>88</v>
      </c>
      <c r="B51">
        <v>497</v>
      </c>
      <c r="C51">
        <v>24553</v>
      </c>
      <c r="D51" s="9">
        <v>36</v>
      </c>
      <c r="E51">
        <v>52</v>
      </c>
      <c r="F51">
        <v>21</v>
      </c>
      <c r="G51">
        <v>184</v>
      </c>
      <c r="H51">
        <f t="shared" si="0"/>
        <v>293</v>
      </c>
      <c r="I51" s="9" t="str" cm="1">
        <f t="array" ref="I51">_xlfn.LET(_xlpm.total,SUM(D51:G51),_xlpm.maxv,MAX(D51:G51),IF(_xlpm.total=0,"",IF(_xlpm.maxv/_xlpm.total&lt;0.5,"Mixed-Class",_xlfn.IFS(_xlpm.maxv=D51,"Assault",_xlpm.maxv=E51,"Engineer",_xlpm.maxv=F51,"Recon",_xlpm.maxv=G51,"Support"))))</f>
        <v>Support</v>
      </c>
      <c r="J51" t="b">
        <f t="shared" si="1"/>
        <v>1</v>
      </c>
      <c r="K51" s="10">
        <f t="shared" si="6"/>
        <v>0.62798634812286691</v>
      </c>
      <c r="L51" s="11">
        <v>46057</v>
      </c>
    </row>
    <row r="52" spans="1:12" x14ac:dyDescent="0.25">
      <c r="A52" t="s">
        <v>89</v>
      </c>
      <c r="B52">
        <v>507</v>
      </c>
      <c r="C52">
        <v>24570</v>
      </c>
      <c r="D52" s="9">
        <v>185</v>
      </c>
      <c r="E52">
        <v>32</v>
      </c>
      <c r="F52">
        <v>54</v>
      </c>
      <c r="G52">
        <v>68</v>
      </c>
      <c r="H52">
        <f t="shared" si="0"/>
        <v>339</v>
      </c>
      <c r="I52" s="9" t="str" cm="1">
        <f t="array" ref="I52">_xlfn.LET(_xlpm.total,SUM(D52:G52),_xlpm.maxv,MAX(D52:G52),IF(_xlpm.total=0,"",IF(_xlpm.maxv/_xlpm.total&lt;0.5,"Mixed-Class",_xlfn.IFS(_xlpm.maxv=D52,"Assault",_xlpm.maxv=E52,"Engineer",_xlpm.maxv=F52,"Recon",_xlpm.maxv=G52,"Support"))))</f>
        <v>Assault</v>
      </c>
      <c r="J52" t="b">
        <f t="shared" si="1"/>
        <v>1</v>
      </c>
      <c r="K52" s="10">
        <f t="shared" si="2"/>
        <v>0.54572271386430682</v>
      </c>
      <c r="L52" s="11">
        <v>46058</v>
      </c>
    </row>
    <row r="53" spans="1:12" x14ac:dyDescent="0.25">
      <c r="A53" t="s">
        <v>90</v>
      </c>
      <c r="B53">
        <v>517</v>
      </c>
      <c r="C53">
        <v>24468</v>
      </c>
      <c r="D53" s="9">
        <v>94</v>
      </c>
      <c r="E53">
        <v>59</v>
      </c>
      <c r="F53">
        <v>23</v>
      </c>
      <c r="G53">
        <v>424</v>
      </c>
      <c r="H53">
        <f t="shared" si="0"/>
        <v>600</v>
      </c>
      <c r="I53" s="9" t="str" cm="1">
        <f t="array" ref="I53">_xlfn.LET(_xlpm.total,SUM(D53:G53),_xlpm.maxv,MAX(D53:G53),IF(_xlpm.total=0,"",IF(_xlpm.maxv/_xlpm.total&lt;0.5,"Mixed-Class",_xlfn.IFS(_xlpm.maxv=D53,"Assault",_xlpm.maxv=E53,"Engineer",_xlpm.maxv=F53,"Recon",_xlpm.maxv=G53,"Support"))))</f>
        <v>Support</v>
      </c>
      <c r="J53" t="b">
        <f t="shared" si="1"/>
        <v>1</v>
      </c>
      <c r="K53" s="10">
        <f t="shared" si="2"/>
        <v>0.70666666666666667</v>
      </c>
      <c r="L53" s="11">
        <v>46058</v>
      </c>
    </row>
    <row r="54" spans="1:12" x14ac:dyDescent="0.25">
      <c r="A54" t="s">
        <v>91</v>
      </c>
      <c r="B54">
        <v>527</v>
      </c>
      <c r="C54">
        <v>24380</v>
      </c>
      <c r="D54" s="9">
        <v>131</v>
      </c>
      <c r="E54">
        <v>65</v>
      </c>
      <c r="F54">
        <v>33</v>
      </c>
      <c r="G54">
        <v>102</v>
      </c>
      <c r="H54">
        <f t="shared" si="0"/>
        <v>331</v>
      </c>
      <c r="I54" s="9" t="str" cm="1">
        <f t="array" ref="I54">_xlfn.LET(_xlpm.total,SUM(D54:G54),_xlpm.maxv,MAX(D54:G54),IF(_xlpm.total=0,"",IF(_xlpm.maxv/_xlpm.total&lt;0.5,"Mixed-Class",_xlfn.IFS(_xlpm.maxv=D54,"Assault",_xlpm.maxv=E54,"Engineer",_xlpm.maxv=F54,"Recon",_xlpm.maxv=G54,"Support"))))</f>
        <v>Mixed-Class</v>
      </c>
      <c r="J54" t="b">
        <f t="shared" si="1"/>
        <v>0</v>
      </c>
      <c r="K54" s="10">
        <f t="shared" si="2"/>
        <v>0.39577039274924469</v>
      </c>
      <c r="L54" s="11">
        <v>46058</v>
      </c>
    </row>
    <row r="55" spans="1:12" x14ac:dyDescent="0.25">
      <c r="A55" t="s">
        <v>92</v>
      </c>
      <c r="B55">
        <v>537</v>
      </c>
      <c r="C55">
        <v>24308</v>
      </c>
      <c r="D55" s="9">
        <v>191</v>
      </c>
      <c r="E55">
        <v>84</v>
      </c>
      <c r="F55">
        <v>83</v>
      </c>
      <c r="G55">
        <v>55</v>
      </c>
      <c r="H55">
        <f t="shared" si="0"/>
        <v>413</v>
      </c>
      <c r="I55" s="9" t="str" cm="1">
        <f t="array" ref="I55">_xlfn.LET(_xlpm.total,SUM(D55:G55),_xlpm.maxv,MAX(D55:G55),IF(_xlpm.total=0,"",IF(_xlpm.maxv/_xlpm.total&lt;0.5,"Mixed-Class",_xlfn.IFS(_xlpm.maxv=D55,"Assault",_xlpm.maxv=E55,"Engineer",_xlpm.maxv=F55,"Recon",_xlpm.maxv=G55,"Support"))))</f>
        <v>Mixed-Class</v>
      </c>
      <c r="J55" t="b">
        <f t="shared" si="1"/>
        <v>0</v>
      </c>
      <c r="K55" s="10">
        <f t="shared" si="2"/>
        <v>0.46246973365617433</v>
      </c>
      <c r="L55" s="11">
        <v>46058</v>
      </c>
    </row>
    <row r="56" spans="1:12" x14ac:dyDescent="0.25">
      <c r="A56" t="s">
        <v>93</v>
      </c>
      <c r="B56">
        <v>547</v>
      </c>
      <c r="C56">
        <v>24241</v>
      </c>
      <c r="D56" s="9">
        <v>17</v>
      </c>
      <c r="E56">
        <v>367</v>
      </c>
      <c r="F56">
        <v>7</v>
      </c>
      <c r="G56">
        <v>41</v>
      </c>
      <c r="H56">
        <f t="shared" si="0"/>
        <v>432</v>
      </c>
      <c r="I56" s="9" t="str" cm="1">
        <f t="array" ref="I56">_xlfn.LET(_xlpm.total,SUM(D56:G56),_xlpm.maxv,MAX(D56:G56),IF(_xlpm.total=0,"",IF(_xlpm.maxv/_xlpm.total&lt;0.5,"Mixed-Class",_xlfn.IFS(_xlpm.maxv=D56,"Assault",_xlpm.maxv=E56,"Engineer",_xlpm.maxv=F56,"Recon",_xlpm.maxv=G56,"Support"))))</f>
        <v>Engineer</v>
      </c>
      <c r="J56" t="b">
        <f t="shared" si="1"/>
        <v>1</v>
      </c>
      <c r="K56" s="10">
        <f t="shared" si="2"/>
        <v>0.84953703703703709</v>
      </c>
      <c r="L56" s="11">
        <v>46058</v>
      </c>
    </row>
    <row r="57" spans="1:12" x14ac:dyDescent="0.25">
      <c r="A57" t="s">
        <v>94</v>
      </c>
      <c r="B57">
        <v>557</v>
      </c>
      <c r="C57">
        <v>24167</v>
      </c>
      <c r="D57" s="9">
        <v>257</v>
      </c>
      <c r="E57">
        <v>32</v>
      </c>
      <c r="F57">
        <v>12</v>
      </c>
      <c r="G57">
        <v>6</v>
      </c>
      <c r="H57">
        <f t="shared" si="0"/>
        <v>307</v>
      </c>
      <c r="I57" s="9" t="str" cm="1">
        <f t="array" ref="I57">_xlfn.LET(_xlpm.total,SUM(D57:G57),_xlpm.maxv,MAX(D57:G57),IF(_xlpm.total=0,"",IF(_xlpm.maxv/_xlpm.total&lt;0.5,"Mixed-Class",_xlfn.IFS(_xlpm.maxv=D57,"Assault",_xlpm.maxv=E57,"Engineer",_xlpm.maxv=F57,"Recon",_xlpm.maxv=G57,"Support"))))</f>
        <v>Assault</v>
      </c>
      <c r="J57" t="b">
        <f t="shared" si="1"/>
        <v>1</v>
      </c>
      <c r="K57" s="10">
        <f t="shared" si="2"/>
        <v>0.83713355048859939</v>
      </c>
      <c r="L57" s="11">
        <v>46058</v>
      </c>
    </row>
    <row r="58" spans="1:12" x14ac:dyDescent="0.25">
      <c r="A58" t="s">
        <v>95</v>
      </c>
      <c r="B58">
        <v>567</v>
      </c>
      <c r="C58">
        <v>24065</v>
      </c>
      <c r="D58" s="9">
        <v>34</v>
      </c>
      <c r="E58">
        <v>318</v>
      </c>
      <c r="F58">
        <v>25</v>
      </c>
      <c r="G58">
        <v>57</v>
      </c>
      <c r="H58">
        <f t="shared" si="0"/>
        <v>434</v>
      </c>
      <c r="I58" s="9" t="str" cm="1">
        <f t="array" ref="I58">_xlfn.LET(_xlpm.total,SUM(D58:G58),_xlpm.maxv,MAX(D58:G58),IF(_xlpm.total=0,"",IF(_xlpm.maxv/_xlpm.total&lt;0.5,"Mixed-Class",_xlfn.IFS(_xlpm.maxv=D58,"Assault",_xlpm.maxv=E58,"Engineer",_xlpm.maxv=F58,"Recon",_xlpm.maxv=G58,"Support"))))</f>
        <v>Engineer</v>
      </c>
      <c r="J58" t="b">
        <f t="shared" si="1"/>
        <v>1</v>
      </c>
      <c r="K58" s="10">
        <f t="shared" si="2"/>
        <v>0.73271889400921664</v>
      </c>
      <c r="L58" s="11">
        <v>46058</v>
      </c>
    </row>
    <row r="59" spans="1:12" x14ac:dyDescent="0.25">
      <c r="A59" t="s">
        <v>96</v>
      </c>
      <c r="B59">
        <v>577</v>
      </c>
      <c r="C59">
        <v>23991</v>
      </c>
      <c r="D59" s="9">
        <v>298</v>
      </c>
      <c r="E59">
        <v>161</v>
      </c>
      <c r="F59">
        <v>9</v>
      </c>
      <c r="G59">
        <v>78</v>
      </c>
      <c r="H59">
        <f t="shared" si="0"/>
        <v>546</v>
      </c>
      <c r="I59" s="9" t="str" cm="1">
        <f t="array" ref="I59">_xlfn.LET(_xlpm.total,SUM(D59:G59),_xlpm.maxv,MAX(D59:G59),IF(_xlpm.total=0,"",IF(_xlpm.maxv/_xlpm.total&lt;0.5,"Mixed-Class",_xlfn.IFS(_xlpm.maxv=D59,"Assault",_xlpm.maxv=E59,"Engineer",_xlpm.maxv=F59,"Recon",_xlpm.maxv=G59,"Support"))))</f>
        <v>Assault</v>
      </c>
      <c r="J59" t="b">
        <f t="shared" si="1"/>
        <v>1</v>
      </c>
      <c r="K59" s="10">
        <f t="shared" si="2"/>
        <v>0.54578754578754574</v>
      </c>
      <c r="L59" s="11">
        <v>46058</v>
      </c>
    </row>
    <row r="60" spans="1:12" x14ac:dyDescent="0.25">
      <c r="A60" t="s">
        <v>97</v>
      </c>
      <c r="B60">
        <v>587</v>
      </c>
      <c r="C60">
        <v>23884</v>
      </c>
      <c r="D60" s="9">
        <v>34</v>
      </c>
      <c r="E60">
        <v>90</v>
      </c>
      <c r="F60">
        <v>49</v>
      </c>
      <c r="G60">
        <v>207</v>
      </c>
      <c r="H60">
        <f t="shared" si="0"/>
        <v>380</v>
      </c>
      <c r="I60" s="9" t="str" cm="1">
        <f t="array" ref="I60">_xlfn.LET(_xlpm.total,SUM(D60:G60),_xlpm.maxv,MAX(D60:G60),IF(_xlpm.total=0,"",IF(_xlpm.maxv/_xlpm.total&lt;0.5,"Mixed-Class",_xlfn.IFS(_xlpm.maxv=D60,"Assault",_xlpm.maxv=E60,"Engineer",_xlpm.maxv=F60,"Recon",_xlpm.maxv=G60,"Support"))))</f>
        <v>Support</v>
      </c>
      <c r="J60" t="b">
        <f t="shared" si="1"/>
        <v>1</v>
      </c>
      <c r="K60" s="10">
        <f t="shared" si="2"/>
        <v>0.54473684210526319</v>
      </c>
      <c r="L60" s="11">
        <v>46058</v>
      </c>
    </row>
    <row r="61" spans="1:12" x14ac:dyDescent="0.25">
      <c r="A61" t="s">
        <v>98</v>
      </c>
      <c r="B61">
        <v>597</v>
      </c>
      <c r="C61">
        <v>23810</v>
      </c>
      <c r="D61" s="9">
        <v>87</v>
      </c>
      <c r="E61">
        <v>138</v>
      </c>
      <c r="F61">
        <v>55</v>
      </c>
      <c r="G61">
        <v>152</v>
      </c>
      <c r="H61">
        <f t="shared" si="0"/>
        <v>432</v>
      </c>
      <c r="I61" s="9" t="str" cm="1">
        <f t="array" ref="I61">_xlfn.LET(_xlpm.total,SUM(D61:G61),_xlpm.maxv,MAX(D61:G61),IF(_xlpm.total=0,"",IF(_xlpm.maxv/_xlpm.total&lt;0.5,"Mixed-Class",_xlfn.IFS(_xlpm.maxv=D61,"Assault",_xlpm.maxv=E61,"Engineer",_xlpm.maxv=F61,"Recon",_xlpm.maxv=G61,"Support"))))</f>
        <v>Mixed-Class</v>
      </c>
      <c r="J61" t="b">
        <f t="shared" si="1"/>
        <v>0</v>
      </c>
      <c r="K61" s="10">
        <f t="shared" si="2"/>
        <v>0.35185185185185186</v>
      </c>
      <c r="L61" s="11">
        <v>46058</v>
      </c>
    </row>
    <row r="62" spans="1:12" x14ac:dyDescent="0.25">
      <c r="A62" t="s">
        <v>99</v>
      </c>
      <c r="B62">
        <v>607</v>
      </c>
      <c r="C62">
        <v>23695</v>
      </c>
      <c r="D62" s="9">
        <v>127</v>
      </c>
      <c r="E62">
        <v>165</v>
      </c>
      <c r="F62">
        <v>82</v>
      </c>
      <c r="G62">
        <v>135</v>
      </c>
      <c r="H62">
        <f t="shared" si="0"/>
        <v>509</v>
      </c>
      <c r="I62" s="9" t="str" cm="1">
        <f t="array" ref="I62">_xlfn.LET(_xlpm.total,SUM(D62:G62),_xlpm.maxv,MAX(D62:G62),IF(_xlpm.total=0,"",IF(_xlpm.maxv/_xlpm.total&lt;0.5,"Mixed-Class",_xlfn.IFS(_xlpm.maxv=D62,"Assault",_xlpm.maxv=E62,"Engineer",_xlpm.maxv=F62,"Recon",_xlpm.maxv=G62,"Support"))))</f>
        <v>Mixed-Class</v>
      </c>
      <c r="J62" t="b">
        <f t="shared" si="1"/>
        <v>0</v>
      </c>
      <c r="K62" s="10">
        <f t="shared" ref="K62:K70" si="7">_xlfn.LET(_xlpm.total,SUM(D62:G62),IF(_xlpm.total=0,"",MAX(D62:G62)/_xlpm.total))</f>
        <v>0.32416502946954812</v>
      </c>
      <c r="L62" s="11">
        <v>46058</v>
      </c>
    </row>
    <row r="63" spans="1:12" x14ac:dyDescent="0.25">
      <c r="A63" t="s">
        <v>100</v>
      </c>
      <c r="B63">
        <v>617</v>
      </c>
      <c r="C63">
        <v>23599</v>
      </c>
      <c r="D63" s="9">
        <v>6</v>
      </c>
      <c r="E63">
        <v>435</v>
      </c>
      <c r="F63">
        <v>1.5</v>
      </c>
      <c r="G63">
        <v>27</v>
      </c>
      <c r="H63">
        <f t="shared" si="0"/>
        <v>469.5</v>
      </c>
      <c r="I63" s="9" t="str" cm="1">
        <f t="array" ref="I63">_xlfn.LET(_xlpm.total,SUM(D63:G63),_xlpm.maxv,MAX(D63:G63),IF(_xlpm.total=0,"",IF(_xlpm.maxv/_xlpm.total&lt;0.5,"Mixed-Class",_xlfn.IFS(_xlpm.maxv=D63,"Assault",_xlpm.maxv=E63,"Engineer",_xlpm.maxv=F63,"Recon",_xlpm.maxv=G63,"Support"))))</f>
        <v>Engineer</v>
      </c>
      <c r="J63" t="b">
        <f t="shared" si="1"/>
        <v>1</v>
      </c>
      <c r="K63" s="10">
        <f t="shared" si="7"/>
        <v>0.92651757188498407</v>
      </c>
      <c r="L63" s="11">
        <v>46058</v>
      </c>
    </row>
    <row r="64" spans="1:12" x14ac:dyDescent="0.25">
      <c r="A64" t="s">
        <v>101</v>
      </c>
      <c r="B64">
        <v>627</v>
      </c>
      <c r="C64">
        <v>23489</v>
      </c>
      <c r="D64" s="9">
        <v>288</v>
      </c>
      <c r="E64">
        <v>16</v>
      </c>
      <c r="F64">
        <v>7</v>
      </c>
      <c r="G64">
        <v>6</v>
      </c>
      <c r="H64">
        <f t="shared" si="0"/>
        <v>317</v>
      </c>
      <c r="I64" s="9" t="str" cm="1">
        <f t="array" ref="I64">_xlfn.LET(_xlpm.total,SUM(D64:G64),_xlpm.maxv,MAX(D64:G64),IF(_xlpm.total=0,"",IF(_xlpm.maxv/_xlpm.total&lt;0.5,"Mixed-Class",_xlfn.IFS(_xlpm.maxv=D64,"Assault",_xlpm.maxv=E64,"Engineer",_xlpm.maxv=F64,"Recon",_xlpm.maxv=G64,"Support"))))</f>
        <v>Assault</v>
      </c>
      <c r="J64" t="b">
        <f t="shared" si="1"/>
        <v>1</v>
      </c>
      <c r="K64" s="10">
        <f t="shared" si="7"/>
        <v>0.90851735015772872</v>
      </c>
      <c r="L64" s="11">
        <v>46058</v>
      </c>
    </row>
    <row r="65" spans="1:12" x14ac:dyDescent="0.25">
      <c r="A65" t="s">
        <v>102</v>
      </c>
      <c r="B65">
        <v>637</v>
      </c>
      <c r="C65">
        <v>23442</v>
      </c>
      <c r="D65" s="9">
        <v>62</v>
      </c>
      <c r="E65">
        <v>44</v>
      </c>
      <c r="F65">
        <v>62</v>
      </c>
      <c r="G65">
        <v>264</v>
      </c>
      <c r="H65">
        <f t="shared" si="0"/>
        <v>432</v>
      </c>
      <c r="I65" s="9" t="str" cm="1">
        <f t="array" ref="I65">_xlfn.LET(_xlpm.total,SUM(D65:G65),_xlpm.maxv,MAX(D65:G65),IF(_xlpm.total=0,"",IF(_xlpm.maxv/_xlpm.total&lt;0.5,"Mixed-Class",_xlfn.IFS(_xlpm.maxv=D65,"Assault",_xlpm.maxv=E65,"Engineer",_xlpm.maxv=F65,"Recon",_xlpm.maxv=G65,"Support"))))</f>
        <v>Support</v>
      </c>
      <c r="J65" t="b">
        <f t="shared" si="1"/>
        <v>1</v>
      </c>
      <c r="K65" s="10">
        <f t="shared" si="7"/>
        <v>0.61111111111111116</v>
      </c>
      <c r="L65" s="11">
        <v>46058</v>
      </c>
    </row>
    <row r="66" spans="1:12" x14ac:dyDescent="0.25">
      <c r="A66" t="s">
        <v>103</v>
      </c>
      <c r="B66">
        <v>647</v>
      </c>
      <c r="C66">
        <v>23368</v>
      </c>
      <c r="D66" s="9">
        <v>326</v>
      </c>
      <c r="E66">
        <v>19</v>
      </c>
      <c r="F66">
        <v>26</v>
      </c>
      <c r="G66">
        <v>28</v>
      </c>
      <c r="H66">
        <f t="shared" si="0"/>
        <v>399</v>
      </c>
      <c r="I66" s="9" t="str" cm="1">
        <f t="array" ref="I66">_xlfn.LET(_xlpm.total,SUM(D66:G66),_xlpm.maxv,MAX(D66:G66),IF(_xlpm.total=0,"",IF(_xlpm.maxv/_xlpm.total&lt;0.5,"Mixed-Class",_xlfn.IFS(_xlpm.maxv=D66,"Assault",_xlpm.maxv=E66,"Engineer",_xlpm.maxv=F66,"Recon",_xlpm.maxv=G66,"Support"))))</f>
        <v>Assault</v>
      </c>
      <c r="J66" t="b">
        <f t="shared" si="1"/>
        <v>1</v>
      </c>
      <c r="K66" s="10">
        <f t="shared" si="7"/>
        <v>0.81704260651629068</v>
      </c>
      <c r="L66" s="11">
        <v>46058</v>
      </c>
    </row>
    <row r="67" spans="1:12" x14ac:dyDescent="0.25">
      <c r="A67" t="s">
        <v>104</v>
      </c>
      <c r="B67">
        <v>657</v>
      </c>
      <c r="C67">
        <v>23311</v>
      </c>
      <c r="D67" s="9">
        <v>1</v>
      </c>
      <c r="E67">
        <v>0</v>
      </c>
      <c r="F67">
        <v>245</v>
      </c>
      <c r="G67">
        <v>0</v>
      </c>
      <c r="H67">
        <f t="shared" ref="H67:H130" si="8">SUM(D67:G67)</f>
        <v>246</v>
      </c>
      <c r="I67" s="9" t="str" cm="1">
        <f t="array" ref="I67">_xlfn.LET(_xlpm.total,SUM(D67:G67),_xlpm.maxv,MAX(D67:G67),IF(_xlpm.total=0,"",IF(_xlpm.maxv/_xlpm.total&lt;0.5,"Mixed-Class",_xlfn.IFS(_xlpm.maxv=D67,"Assault",_xlpm.maxv=E67,"Engineer",_xlpm.maxv=F67,"Recon",_xlpm.maxv=G67,"Support"))))</f>
        <v>Recon</v>
      </c>
      <c r="J67" t="b">
        <f t="shared" ref="J67:J130" si="9">_xlfn.LET(_xlpm.total,SUM(D67:G67),IF(_xlpm.total=0,"",MAX(D67:G67)/_xlpm.total&gt;=0.5))</f>
        <v>1</v>
      </c>
      <c r="K67" s="10">
        <f t="shared" si="7"/>
        <v>0.99593495934959353</v>
      </c>
      <c r="L67" s="11">
        <v>46058</v>
      </c>
    </row>
    <row r="68" spans="1:12" x14ac:dyDescent="0.25">
      <c r="A68" t="s">
        <v>105</v>
      </c>
      <c r="B68">
        <v>667</v>
      </c>
      <c r="C68">
        <v>23267</v>
      </c>
      <c r="D68" s="9">
        <v>134</v>
      </c>
      <c r="E68">
        <v>173</v>
      </c>
      <c r="F68">
        <v>41</v>
      </c>
      <c r="G68">
        <v>90</v>
      </c>
      <c r="H68">
        <f t="shared" si="8"/>
        <v>438</v>
      </c>
      <c r="I68" s="9" t="str" cm="1">
        <f t="array" ref="I68">_xlfn.LET(_xlpm.total,SUM(D68:G68),_xlpm.maxv,MAX(D68:G68),IF(_xlpm.total=0,"",IF(_xlpm.maxv/_xlpm.total&lt;0.5,"Mixed-Class",_xlfn.IFS(_xlpm.maxv=D68,"Assault",_xlpm.maxv=E68,"Engineer",_xlpm.maxv=F68,"Recon",_xlpm.maxv=G68,"Support"))))</f>
        <v>Mixed-Class</v>
      </c>
      <c r="J68" t="b">
        <f t="shared" si="9"/>
        <v>0</v>
      </c>
      <c r="K68" s="10">
        <f t="shared" si="7"/>
        <v>0.3949771689497717</v>
      </c>
      <c r="L68" s="11">
        <v>46058</v>
      </c>
    </row>
    <row r="69" spans="1:12" x14ac:dyDescent="0.25">
      <c r="A69" t="s">
        <v>106</v>
      </c>
      <c r="B69">
        <v>677</v>
      </c>
      <c r="C69">
        <v>23199</v>
      </c>
      <c r="D69" s="9">
        <v>49</v>
      </c>
      <c r="E69">
        <v>263</v>
      </c>
      <c r="F69">
        <v>68</v>
      </c>
      <c r="G69">
        <v>15</v>
      </c>
      <c r="H69">
        <f t="shared" si="8"/>
        <v>395</v>
      </c>
      <c r="I69" s="9" t="str" cm="1">
        <f t="array" ref="I69">_xlfn.LET(_xlpm.total,SUM(D69:G69),_xlpm.maxv,MAX(D69:G69),IF(_xlpm.total=0,"",IF(_xlpm.maxv/_xlpm.total&lt;0.5,"Mixed-Class",_xlfn.IFS(_xlpm.maxv=D69,"Assault",_xlpm.maxv=E69,"Engineer",_xlpm.maxv=F69,"Recon",_xlpm.maxv=G69,"Support"))))</f>
        <v>Engineer</v>
      </c>
      <c r="J69" t="b">
        <f t="shared" si="9"/>
        <v>1</v>
      </c>
      <c r="K69" s="10">
        <f t="shared" si="7"/>
        <v>0.66582278481012658</v>
      </c>
      <c r="L69" s="11">
        <v>46058</v>
      </c>
    </row>
    <row r="70" spans="1:12" x14ac:dyDescent="0.25">
      <c r="A70" t="s">
        <v>107</v>
      </c>
      <c r="B70">
        <v>687</v>
      </c>
      <c r="C70">
        <v>23140</v>
      </c>
      <c r="D70" s="9">
        <v>69</v>
      </c>
      <c r="E70">
        <v>157</v>
      </c>
      <c r="F70">
        <v>184</v>
      </c>
      <c r="G70">
        <v>125</v>
      </c>
      <c r="H70">
        <f t="shared" si="8"/>
        <v>535</v>
      </c>
      <c r="I70" s="9" t="str" cm="1">
        <f t="array" ref="I70">_xlfn.LET(_xlpm.total,SUM(D70:G70),_xlpm.maxv,MAX(D70:G70),IF(_xlpm.total=0,"",IF(_xlpm.maxv/_xlpm.total&lt;0.5,"Mixed-Class",_xlfn.IFS(_xlpm.maxv=D70,"Assault",_xlpm.maxv=E70,"Engineer",_xlpm.maxv=F70,"Recon",_xlpm.maxv=G70,"Support"))))</f>
        <v>Mixed-Class</v>
      </c>
      <c r="J70" t="b">
        <f t="shared" si="9"/>
        <v>0</v>
      </c>
      <c r="K70" s="10">
        <f t="shared" si="7"/>
        <v>0.34392523364485983</v>
      </c>
      <c r="L70" s="11">
        <v>46058</v>
      </c>
    </row>
    <row r="71" spans="1:12" x14ac:dyDescent="0.25">
      <c r="A71" t="s">
        <v>108</v>
      </c>
      <c r="B71">
        <v>697</v>
      </c>
      <c r="C71">
        <v>23010</v>
      </c>
      <c r="D71" s="9">
        <v>95</v>
      </c>
      <c r="E71">
        <v>161</v>
      </c>
      <c r="F71">
        <v>57</v>
      </c>
      <c r="G71">
        <v>78</v>
      </c>
      <c r="H71">
        <f t="shared" si="8"/>
        <v>391</v>
      </c>
      <c r="I71" s="9" t="str" cm="1">
        <f t="array" ref="I71">_xlfn.LET(_xlpm.total,SUM(D71:G71),_xlpm.maxv,MAX(D71:G71),IF(_xlpm.total=0,"",IF(_xlpm.maxv/_xlpm.total&lt;0.5,"Mixed-Class",_xlfn.IFS(_xlpm.maxv=D71,"Assault",_xlpm.maxv=E71,"Engineer",_xlpm.maxv=F71,"Recon",_xlpm.maxv=G71,"Support"))))</f>
        <v>Mixed-Class</v>
      </c>
      <c r="J71" t="b">
        <f t="shared" si="9"/>
        <v>0</v>
      </c>
      <c r="K71" s="10">
        <f t="shared" ref="K71" si="10">_xlfn.LET(_xlpm.total,SUM(D71:G71),IF(_xlpm.total=0,"",MAX(D71:G71)/_xlpm.total))</f>
        <v>0.41176470588235292</v>
      </c>
      <c r="L71" s="11">
        <v>46058</v>
      </c>
    </row>
    <row r="72" spans="1:12" x14ac:dyDescent="0.25">
      <c r="A72" t="s">
        <v>109</v>
      </c>
      <c r="B72">
        <v>707</v>
      </c>
      <c r="C72">
        <v>23089</v>
      </c>
      <c r="D72" s="9">
        <v>66</v>
      </c>
      <c r="E72">
        <v>89</v>
      </c>
      <c r="F72">
        <v>186</v>
      </c>
      <c r="G72">
        <v>196</v>
      </c>
      <c r="H72">
        <f t="shared" ref="H72:H101" si="11">SUM(D72:G72)</f>
        <v>537</v>
      </c>
      <c r="I72" s="9" t="str" cm="1">
        <f t="array" ref="I72">_xlfn.LET(_xlpm.total,SUM(D72:G72),_xlpm.maxv,MAX(D72:G72),IF(_xlpm.total=0,"",IF(_xlpm.maxv/_xlpm.total&lt;0.5,"Mixed-Class",_xlfn.IFS(_xlpm.maxv=D72,"Assault",_xlpm.maxv=E72,"Engineer",_xlpm.maxv=F72,"Recon",_xlpm.maxv=G72,"Support"))))</f>
        <v>Mixed-Class</v>
      </c>
      <c r="J72" t="b">
        <f t="shared" ref="J72:J101" si="12">_xlfn.LET(_xlpm.total,SUM(D72:G72),IF(_xlpm.total=0,"",MAX(D72:G72)/_xlpm.total&gt;=0.5))</f>
        <v>0</v>
      </c>
      <c r="K72" s="10">
        <f t="shared" ref="K72:K101" si="13">_xlfn.LET(_xlpm.total,SUM(D72:G72),IF(_xlpm.total=0,"",MAX(D72:G72)/_xlpm.total))</f>
        <v>0.36499068901303539</v>
      </c>
      <c r="L72" s="11">
        <v>46059</v>
      </c>
    </row>
    <row r="73" spans="1:12" x14ac:dyDescent="0.25">
      <c r="A73" t="s">
        <v>110</v>
      </c>
      <c r="B73">
        <v>717</v>
      </c>
      <c r="C73">
        <v>22995</v>
      </c>
      <c r="D73" s="9">
        <v>169</v>
      </c>
      <c r="E73">
        <v>135</v>
      </c>
      <c r="F73">
        <v>194</v>
      </c>
      <c r="G73">
        <v>69</v>
      </c>
      <c r="H73">
        <f t="shared" si="11"/>
        <v>567</v>
      </c>
      <c r="I73" s="9" t="str" cm="1">
        <f t="array" ref="I73">_xlfn.LET(_xlpm.total,SUM(D73:G73),_xlpm.maxv,MAX(D73:G73),IF(_xlpm.total=0,"",IF(_xlpm.maxv/_xlpm.total&lt;0.5,"Mixed-Class",_xlfn.IFS(_xlpm.maxv=D73,"Assault",_xlpm.maxv=E73,"Engineer",_xlpm.maxv=F73,"Recon",_xlpm.maxv=G73,"Support"))))</f>
        <v>Mixed-Class</v>
      </c>
      <c r="J73" t="b">
        <f t="shared" si="12"/>
        <v>0</v>
      </c>
      <c r="K73" s="10">
        <f t="shared" si="13"/>
        <v>0.3421516754850088</v>
      </c>
      <c r="L73" s="11">
        <v>46059</v>
      </c>
    </row>
    <row r="74" spans="1:12" x14ac:dyDescent="0.25">
      <c r="A74" t="s">
        <v>111</v>
      </c>
      <c r="B74">
        <v>727</v>
      </c>
      <c r="C74">
        <v>22920</v>
      </c>
      <c r="D74" s="9">
        <v>102</v>
      </c>
      <c r="E74">
        <v>113</v>
      </c>
      <c r="F74">
        <v>61</v>
      </c>
      <c r="G74">
        <v>78</v>
      </c>
      <c r="H74">
        <f t="shared" si="11"/>
        <v>354</v>
      </c>
      <c r="I74" s="9" t="str" cm="1">
        <f t="array" ref="I74">_xlfn.LET(_xlpm.total,SUM(D74:G74),_xlpm.maxv,MAX(D74:G74),IF(_xlpm.total=0,"",IF(_xlpm.maxv/_xlpm.total&lt;0.5,"Mixed-Class",_xlfn.IFS(_xlpm.maxv=D74,"Assault",_xlpm.maxv=E74,"Engineer",_xlpm.maxv=F74,"Recon",_xlpm.maxv=G74,"Support"))))</f>
        <v>Mixed-Class</v>
      </c>
      <c r="J74" t="b">
        <f t="shared" si="12"/>
        <v>0</v>
      </c>
      <c r="K74" s="10">
        <f t="shared" si="13"/>
        <v>0.3192090395480226</v>
      </c>
      <c r="L74" s="11">
        <v>46059</v>
      </c>
    </row>
    <row r="75" spans="1:12" x14ac:dyDescent="0.25">
      <c r="A75" t="s">
        <v>112</v>
      </c>
      <c r="B75">
        <v>737</v>
      </c>
      <c r="C75">
        <v>22862</v>
      </c>
      <c r="D75" s="9">
        <v>86</v>
      </c>
      <c r="E75">
        <v>10</v>
      </c>
      <c r="F75">
        <v>4</v>
      </c>
      <c r="G75">
        <v>247</v>
      </c>
      <c r="H75">
        <f t="shared" si="11"/>
        <v>347</v>
      </c>
      <c r="I75" s="9" t="str" cm="1">
        <f t="array" ref="I75">_xlfn.LET(_xlpm.total,SUM(D75:G75),_xlpm.maxv,MAX(D75:G75),IF(_xlpm.total=0,"",IF(_xlpm.maxv/_xlpm.total&lt;0.5,"Mixed-Class",_xlfn.IFS(_xlpm.maxv=D75,"Assault",_xlpm.maxv=E75,"Engineer",_xlpm.maxv=F75,"Recon",_xlpm.maxv=G75,"Support"))))</f>
        <v>Support</v>
      </c>
      <c r="J75" t="b">
        <f t="shared" si="12"/>
        <v>1</v>
      </c>
      <c r="K75" s="10">
        <f t="shared" si="13"/>
        <v>0.71181556195965423</v>
      </c>
      <c r="L75" s="11">
        <v>46059</v>
      </c>
    </row>
    <row r="76" spans="1:12" x14ac:dyDescent="0.25">
      <c r="A76" t="s">
        <v>113</v>
      </c>
      <c r="B76">
        <v>747</v>
      </c>
      <c r="C76">
        <v>22782</v>
      </c>
      <c r="D76" s="9">
        <v>97</v>
      </c>
      <c r="E76">
        <v>55</v>
      </c>
      <c r="F76">
        <v>16</v>
      </c>
      <c r="G76">
        <v>72</v>
      </c>
      <c r="H76">
        <f t="shared" si="11"/>
        <v>240</v>
      </c>
      <c r="I76" s="9" t="str" cm="1">
        <f t="array" ref="I76">_xlfn.LET(_xlpm.total,SUM(D76:G76),_xlpm.maxv,MAX(D76:G76),IF(_xlpm.total=0,"",IF(_xlpm.maxv/_xlpm.total&lt;0.5,"Mixed-Class",_xlfn.IFS(_xlpm.maxv=D76,"Assault",_xlpm.maxv=E76,"Engineer",_xlpm.maxv=F76,"Recon",_xlpm.maxv=G76,"Support"))))</f>
        <v>Mixed-Class</v>
      </c>
      <c r="J76" t="b">
        <f t="shared" si="12"/>
        <v>0</v>
      </c>
      <c r="K76" s="10">
        <f t="shared" si="13"/>
        <v>0.40416666666666667</v>
      </c>
      <c r="L76" s="11">
        <v>46059</v>
      </c>
    </row>
    <row r="77" spans="1:12" x14ac:dyDescent="0.25">
      <c r="A77" t="s">
        <v>114</v>
      </c>
      <c r="B77">
        <v>757</v>
      </c>
      <c r="C77">
        <v>22740</v>
      </c>
      <c r="D77" s="9">
        <v>162</v>
      </c>
      <c r="E77">
        <v>127</v>
      </c>
      <c r="F77">
        <v>125</v>
      </c>
      <c r="G77">
        <v>80</v>
      </c>
      <c r="H77">
        <f t="shared" si="11"/>
        <v>494</v>
      </c>
      <c r="I77" s="9" t="str" cm="1">
        <f t="array" ref="I77">_xlfn.LET(_xlpm.total,SUM(D77:G77),_xlpm.maxv,MAX(D77:G77),IF(_xlpm.total=0,"",IF(_xlpm.maxv/_xlpm.total&lt;0.5,"Mixed-Class",_xlfn.IFS(_xlpm.maxv=D77,"Assault",_xlpm.maxv=E77,"Engineer",_xlpm.maxv=F77,"Recon",_xlpm.maxv=G77,"Support"))))</f>
        <v>Mixed-Class</v>
      </c>
      <c r="J77" t="b">
        <f t="shared" si="12"/>
        <v>0</v>
      </c>
      <c r="K77" s="10">
        <f t="shared" si="13"/>
        <v>0.32793522267206476</v>
      </c>
      <c r="L77" s="11">
        <v>46059</v>
      </c>
    </row>
    <row r="78" spans="1:12" x14ac:dyDescent="0.25">
      <c r="A78" t="s">
        <v>115</v>
      </c>
      <c r="B78">
        <v>767</v>
      </c>
      <c r="C78">
        <v>22670</v>
      </c>
      <c r="D78" s="9">
        <v>73</v>
      </c>
      <c r="E78">
        <v>181</v>
      </c>
      <c r="F78">
        <v>48</v>
      </c>
      <c r="G78">
        <v>75</v>
      </c>
      <c r="H78">
        <f t="shared" si="11"/>
        <v>377</v>
      </c>
      <c r="I78" s="9" t="str" cm="1">
        <f t="array" ref="I78">_xlfn.LET(_xlpm.total,SUM(D78:G78),_xlpm.maxv,MAX(D78:G78),IF(_xlpm.total=0,"",IF(_xlpm.maxv/_xlpm.total&lt;0.5,"Mixed-Class",_xlfn.IFS(_xlpm.maxv=D78,"Assault",_xlpm.maxv=E78,"Engineer",_xlpm.maxv=F78,"Recon",_xlpm.maxv=G78,"Support"))))</f>
        <v>Mixed-Class</v>
      </c>
      <c r="J78" t="b">
        <f t="shared" si="12"/>
        <v>0</v>
      </c>
      <c r="K78" s="10">
        <f t="shared" si="13"/>
        <v>0.48010610079575594</v>
      </c>
      <c r="L78" s="11">
        <v>46059</v>
      </c>
    </row>
    <row r="79" spans="1:12" x14ac:dyDescent="0.25">
      <c r="A79" t="s">
        <v>116</v>
      </c>
      <c r="B79">
        <v>777</v>
      </c>
      <c r="C79">
        <v>22623</v>
      </c>
      <c r="D79" s="9">
        <v>102</v>
      </c>
      <c r="E79">
        <v>232</v>
      </c>
      <c r="F79">
        <v>35</v>
      </c>
      <c r="G79">
        <v>116</v>
      </c>
      <c r="H79">
        <f t="shared" si="11"/>
        <v>485</v>
      </c>
      <c r="I79" s="9" t="str" cm="1">
        <f t="array" ref="I79">_xlfn.LET(_xlpm.total,SUM(D79:G79),_xlpm.maxv,MAX(D79:G79),IF(_xlpm.total=0,"",IF(_xlpm.maxv/_xlpm.total&lt;0.5,"Mixed-Class",_xlfn.IFS(_xlpm.maxv=D79,"Assault",_xlpm.maxv=E79,"Engineer",_xlpm.maxv=F79,"Recon",_xlpm.maxv=G79,"Support"))))</f>
        <v>Mixed-Class</v>
      </c>
      <c r="J79" t="b">
        <f t="shared" si="12"/>
        <v>0</v>
      </c>
      <c r="K79" s="10">
        <f t="shared" si="13"/>
        <v>0.47835051546391755</v>
      </c>
      <c r="L79" s="11">
        <v>46059</v>
      </c>
    </row>
    <row r="80" spans="1:12" x14ac:dyDescent="0.25">
      <c r="A80" t="s">
        <v>117</v>
      </c>
      <c r="B80">
        <v>787</v>
      </c>
      <c r="C80">
        <v>22550</v>
      </c>
      <c r="D80" s="9">
        <v>53</v>
      </c>
      <c r="E80">
        <v>107</v>
      </c>
      <c r="F80">
        <v>188</v>
      </c>
      <c r="G80">
        <v>84</v>
      </c>
      <c r="H80">
        <f t="shared" si="11"/>
        <v>432</v>
      </c>
      <c r="I80" s="9" t="str" cm="1">
        <f t="array" ref="I80">_xlfn.LET(_xlpm.total,SUM(D80:G80),_xlpm.maxv,MAX(D80:G80),IF(_xlpm.total=0,"",IF(_xlpm.maxv/_xlpm.total&lt;0.5,"Mixed-Class",_xlfn.IFS(_xlpm.maxv=D80,"Assault",_xlpm.maxv=E80,"Engineer",_xlpm.maxv=F80,"Recon",_xlpm.maxv=G80,"Support"))))</f>
        <v>Mixed-Class</v>
      </c>
      <c r="J80" t="b">
        <f t="shared" si="12"/>
        <v>0</v>
      </c>
      <c r="K80" s="10">
        <f t="shared" si="13"/>
        <v>0.43518518518518517</v>
      </c>
      <c r="L80" s="11">
        <v>46059</v>
      </c>
    </row>
    <row r="81" spans="1:12" x14ac:dyDescent="0.25">
      <c r="A81" t="s">
        <v>118</v>
      </c>
      <c r="B81">
        <v>797</v>
      </c>
      <c r="C81">
        <v>22500</v>
      </c>
      <c r="D81" s="9">
        <v>77</v>
      </c>
      <c r="E81">
        <v>145</v>
      </c>
      <c r="F81">
        <v>47</v>
      </c>
      <c r="G81">
        <v>135</v>
      </c>
      <c r="H81">
        <f t="shared" si="11"/>
        <v>404</v>
      </c>
      <c r="I81" s="9" t="str" cm="1">
        <f t="array" ref="I81">_xlfn.LET(_xlpm.total,SUM(D81:G81),_xlpm.maxv,MAX(D81:G81),IF(_xlpm.total=0,"",IF(_xlpm.maxv/_xlpm.total&lt;0.5,"Mixed-Class",_xlfn.IFS(_xlpm.maxv=D81,"Assault",_xlpm.maxv=E81,"Engineer",_xlpm.maxv=F81,"Recon",_xlpm.maxv=G81,"Support"))))</f>
        <v>Mixed-Class</v>
      </c>
      <c r="J81" t="b">
        <f t="shared" si="12"/>
        <v>0</v>
      </c>
      <c r="K81" s="10">
        <f t="shared" si="13"/>
        <v>0.3589108910891089</v>
      </c>
      <c r="L81" s="11">
        <v>46059</v>
      </c>
    </row>
    <row r="82" spans="1:12" x14ac:dyDescent="0.25">
      <c r="A82" t="s">
        <v>119</v>
      </c>
      <c r="B82">
        <v>807</v>
      </c>
      <c r="C82">
        <v>22433</v>
      </c>
      <c r="D82" s="9">
        <v>50</v>
      </c>
      <c r="E82">
        <v>214</v>
      </c>
      <c r="F82">
        <v>35</v>
      </c>
      <c r="G82">
        <v>45</v>
      </c>
      <c r="H82">
        <f t="shared" si="11"/>
        <v>344</v>
      </c>
      <c r="I82" s="9" t="str" cm="1">
        <f t="array" ref="I82">_xlfn.LET(_xlpm.total,SUM(D82:G82),_xlpm.maxv,MAX(D82:G82),IF(_xlpm.total=0,"",IF(_xlpm.maxv/_xlpm.total&lt;0.5,"Mixed-Class",_xlfn.IFS(_xlpm.maxv=D82,"Assault",_xlpm.maxv=E82,"Engineer",_xlpm.maxv=F82,"Recon",_xlpm.maxv=G82,"Support"))))</f>
        <v>Engineer</v>
      </c>
      <c r="J82" t="b">
        <f t="shared" si="12"/>
        <v>1</v>
      </c>
      <c r="K82" s="10">
        <f t="shared" si="13"/>
        <v>0.62209302325581395</v>
      </c>
      <c r="L82" s="11">
        <v>46059</v>
      </c>
    </row>
    <row r="83" spans="1:12" x14ac:dyDescent="0.25">
      <c r="A83" t="s">
        <v>120</v>
      </c>
      <c r="B83">
        <v>817</v>
      </c>
      <c r="C83">
        <v>22373</v>
      </c>
      <c r="D83" s="9">
        <v>22</v>
      </c>
      <c r="E83">
        <v>24</v>
      </c>
      <c r="F83">
        <v>275</v>
      </c>
      <c r="G83">
        <v>265</v>
      </c>
      <c r="H83">
        <f t="shared" si="11"/>
        <v>586</v>
      </c>
      <c r="I83" s="9" t="str" cm="1">
        <f t="array" ref="I83">_xlfn.LET(_xlpm.total,SUM(D83:G83),_xlpm.maxv,MAX(D83:G83),IF(_xlpm.total=0,"",IF(_xlpm.maxv/_xlpm.total&lt;0.5,"Mixed-Class",_xlfn.IFS(_xlpm.maxv=D83,"Assault",_xlpm.maxv=E83,"Engineer",_xlpm.maxv=F83,"Recon",_xlpm.maxv=G83,"Support"))))</f>
        <v>Mixed-Class</v>
      </c>
      <c r="J83" t="b">
        <f t="shared" si="12"/>
        <v>0</v>
      </c>
      <c r="K83" s="10">
        <f t="shared" si="13"/>
        <v>0.46928327645051193</v>
      </c>
      <c r="L83" s="11">
        <v>46059</v>
      </c>
    </row>
    <row r="84" spans="1:12" x14ac:dyDescent="0.25">
      <c r="A84" t="s">
        <v>121</v>
      </c>
      <c r="B84">
        <v>827</v>
      </c>
      <c r="C84">
        <v>22348</v>
      </c>
      <c r="D84" s="9">
        <v>91</v>
      </c>
      <c r="E84">
        <v>62</v>
      </c>
      <c r="F84">
        <v>88</v>
      </c>
      <c r="G84">
        <v>105</v>
      </c>
      <c r="H84">
        <f t="shared" si="11"/>
        <v>346</v>
      </c>
      <c r="I84" s="9" t="str" cm="1">
        <f t="array" ref="I84">_xlfn.LET(_xlpm.total,SUM(D84:G84),_xlpm.maxv,MAX(D84:G84),IF(_xlpm.total=0,"",IF(_xlpm.maxv/_xlpm.total&lt;0.5,"Mixed-Class",_xlfn.IFS(_xlpm.maxv=D84,"Assault",_xlpm.maxv=E84,"Engineer",_xlpm.maxv=F84,"Recon",_xlpm.maxv=G84,"Support"))))</f>
        <v>Mixed-Class</v>
      </c>
      <c r="J84" t="b">
        <f t="shared" si="12"/>
        <v>0</v>
      </c>
      <c r="K84" s="10">
        <f t="shared" si="13"/>
        <v>0.30346820809248554</v>
      </c>
      <c r="L84" s="11">
        <v>46059</v>
      </c>
    </row>
    <row r="85" spans="1:12" x14ac:dyDescent="0.25">
      <c r="A85" t="s">
        <v>122</v>
      </c>
      <c r="B85">
        <v>837</v>
      </c>
      <c r="C85">
        <v>22290</v>
      </c>
      <c r="D85" s="9">
        <v>74</v>
      </c>
      <c r="E85">
        <v>93</v>
      </c>
      <c r="F85">
        <v>193</v>
      </c>
      <c r="G85">
        <v>90</v>
      </c>
      <c r="H85">
        <f t="shared" si="11"/>
        <v>450</v>
      </c>
      <c r="I85" s="9" t="str" cm="1">
        <f t="array" ref="I85">_xlfn.LET(_xlpm.total,SUM(D85:G85),_xlpm.maxv,MAX(D85:G85),IF(_xlpm.total=0,"",IF(_xlpm.maxv/_xlpm.total&lt;0.5,"Mixed-Class",_xlfn.IFS(_xlpm.maxv=D85,"Assault",_xlpm.maxv=E85,"Engineer",_xlpm.maxv=F85,"Recon",_xlpm.maxv=G85,"Support"))))</f>
        <v>Mixed-Class</v>
      </c>
      <c r="J85" t="b">
        <f t="shared" si="12"/>
        <v>0</v>
      </c>
      <c r="K85" s="10">
        <f t="shared" si="13"/>
        <v>0.42888888888888888</v>
      </c>
      <c r="L85" s="11">
        <v>46059</v>
      </c>
    </row>
    <row r="86" spans="1:12" x14ac:dyDescent="0.25">
      <c r="A86" t="s">
        <v>123</v>
      </c>
      <c r="B86">
        <v>847</v>
      </c>
      <c r="C86">
        <v>22234</v>
      </c>
      <c r="D86" s="9">
        <v>131</v>
      </c>
      <c r="E86">
        <v>14</v>
      </c>
      <c r="F86">
        <v>8</v>
      </c>
      <c r="G86">
        <v>169</v>
      </c>
      <c r="H86">
        <f t="shared" si="11"/>
        <v>322</v>
      </c>
      <c r="I86" s="9" t="str" cm="1">
        <f t="array" ref="I86">_xlfn.LET(_xlpm.total,SUM(D86:G86),_xlpm.maxv,MAX(D86:G86),IF(_xlpm.total=0,"",IF(_xlpm.maxv/_xlpm.total&lt;0.5,"Mixed-Class",_xlfn.IFS(_xlpm.maxv=D86,"Assault",_xlpm.maxv=E86,"Engineer",_xlpm.maxv=F86,"Recon",_xlpm.maxv=G86,"Support"))))</f>
        <v>Support</v>
      </c>
      <c r="J86" t="b">
        <f t="shared" si="12"/>
        <v>1</v>
      </c>
      <c r="K86" s="10">
        <f t="shared" si="13"/>
        <v>0.52484472049689446</v>
      </c>
      <c r="L86" s="11">
        <v>46059</v>
      </c>
    </row>
    <row r="87" spans="1:12" x14ac:dyDescent="0.25">
      <c r="A87" t="s">
        <v>124</v>
      </c>
      <c r="B87">
        <v>857</v>
      </c>
      <c r="C87">
        <v>22162</v>
      </c>
      <c r="D87" s="9">
        <v>70</v>
      </c>
      <c r="E87">
        <v>94</v>
      </c>
      <c r="F87">
        <v>193</v>
      </c>
      <c r="G87">
        <v>51</v>
      </c>
      <c r="H87">
        <f t="shared" si="11"/>
        <v>408</v>
      </c>
      <c r="I87" s="9" t="str" cm="1">
        <f t="array" ref="I87">_xlfn.LET(_xlpm.total,SUM(D87:G87),_xlpm.maxv,MAX(D87:G87),IF(_xlpm.total=0,"",IF(_xlpm.maxv/_xlpm.total&lt;0.5,"Mixed-Class",_xlfn.IFS(_xlpm.maxv=D87,"Assault",_xlpm.maxv=E87,"Engineer",_xlpm.maxv=F87,"Recon",_xlpm.maxv=G87,"Support"))))</f>
        <v>Mixed-Class</v>
      </c>
      <c r="J87" t="b">
        <f t="shared" si="12"/>
        <v>0</v>
      </c>
      <c r="K87" s="10">
        <f t="shared" si="13"/>
        <v>0.47303921568627449</v>
      </c>
      <c r="L87" s="11">
        <v>46059</v>
      </c>
    </row>
    <row r="88" spans="1:12" x14ac:dyDescent="0.25">
      <c r="A88" t="s">
        <v>125</v>
      </c>
      <c r="B88">
        <v>867</v>
      </c>
      <c r="C88">
        <v>22102</v>
      </c>
      <c r="D88" s="9">
        <v>23</v>
      </c>
      <c r="E88">
        <v>52</v>
      </c>
      <c r="F88">
        <v>94</v>
      </c>
      <c r="G88">
        <v>317</v>
      </c>
      <c r="H88">
        <f t="shared" si="11"/>
        <v>486</v>
      </c>
      <c r="I88" s="9" t="str" cm="1">
        <f t="array" ref="I88">_xlfn.LET(_xlpm.total,SUM(D88:G88),_xlpm.maxv,MAX(D88:G88),IF(_xlpm.total=0,"",IF(_xlpm.maxv/_xlpm.total&lt;0.5,"Mixed-Class",_xlfn.IFS(_xlpm.maxv=D88,"Assault",_xlpm.maxv=E88,"Engineer",_xlpm.maxv=F88,"Recon",_xlpm.maxv=G88,"Support"))))</f>
        <v>Support</v>
      </c>
      <c r="J88" t="b">
        <f t="shared" si="12"/>
        <v>1</v>
      </c>
      <c r="K88" s="10">
        <f t="shared" si="13"/>
        <v>0.65226337448559668</v>
      </c>
      <c r="L88" s="11">
        <v>46059</v>
      </c>
    </row>
    <row r="89" spans="1:12" x14ac:dyDescent="0.25">
      <c r="A89" t="s">
        <v>126</v>
      </c>
      <c r="B89">
        <v>877</v>
      </c>
      <c r="C89">
        <v>22056</v>
      </c>
      <c r="D89" s="9">
        <v>44</v>
      </c>
      <c r="E89">
        <v>146</v>
      </c>
      <c r="F89">
        <v>70</v>
      </c>
      <c r="G89">
        <v>101</v>
      </c>
      <c r="H89">
        <f t="shared" si="11"/>
        <v>361</v>
      </c>
      <c r="I89" s="9" t="str" cm="1">
        <f t="array" ref="I89">_xlfn.LET(_xlpm.total,SUM(D89:G89),_xlpm.maxv,MAX(D89:G89),IF(_xlpm.total=0,"",IF(_xlpm.maxv/_xlpm.total&lt;0.5,"Mixed-Class",_xlfn.IFS(_xlpm.maxv=D89,"Assault",_xlpm.maxv=E89,"Engineer",_xlpm.maxv=F89,"Recon",_xlpm.maxv=G89,"Support"))))</f>
        <v>Mixed-Class</v>
      </c>
      <c r="J89" t="b">
        <f t="shared" si="12"/>
        <v>0</v>
      </c>
      <c r="K89" s="10">
        <f t="shared" si="13"/>
        <v>0.40443213296398894</v>
      </c>
      <c r="L89" s="11">
        <v>46059</v>
      </c>
    </row>
    <row r="90" spans="1:12" x14ac:dyDescent="0.25">
      <c r="A90" t="s">
        <v>127</v>
      </c>
      <c r="B90">
        <v>887</v>
      </c>
      <c r="C90">
        <v>22005</v>
      </c>
      <c r="D90" s="9">
        <v>14</v>
      </c>
      <c r="E90">
        <v>185</v>
      </c>
      <c r="F90">
        <v>32</v>
      </c>
      <c r="G90">
        <v>207</v>
      </c>
      <c r="H90">
        <f t="shared" si="11"/>
        <v>438</v>
      </c>
      <c r="I90" s="9" t="str" cm="1">
        <f t="array" ref="I90">_xlfn.LET(_xlpm.total,SUM(D90:G90),_xlpm.maxv,MAX(D90:G90),IF(_xlpm.total=0,"",IF(_xlpm.maxv/_xlpm.total&lt;0.5,"Mixed-Class",_xlfn.IFS(_xlpm.maxv=D90,"Assault",_xlpm.maxv=E90,"Engineer",_xlpm.maxv=F90,"Recon",_xlpm.maxv=G90,"Support"))))</f>
        <v>Mixed-Class</v>
      </c>
      <c r="J90" t="b">
        <f t="shared" si="12"/>
        <v>0</v>
      </c>
      <c r="K90" s="10">
        <f t="shared" si="13"/>
        <v>0.4726027397260274</v>
      </c>
      <c r="L90" s="11">
        <v>46059</v>
      </c>
    </row>
    <row r="91" spans="1:12" x14ac:dyDescent="0.25">
      <c r="A91" t="s">
        <v>128</v>
      </c>
      <c r="B91">
        <v>897</v>
      </c>
      <c r="C91">
        <v>21930</v>
      </c>
      <c r="D91" s="9">
        <v>41</v>
      </c>
      <c r="E91">
        <v>126</v>
      </c>
      <c r="F91">
        <v>19</v>
      </c>
      <c r="G91">
        <v>77</v>
      </c>
      <c r="H91">
        <f t="shared" si="11"/>
        <v>263</v>
      </c>
      <c r="I91" s="9" t="str" cm="1">
        <f t="array" ref="I91">_xlfn.LET(_xlpm.total,SUM(D91:G91),_xlpm.maxv,MAX(D91:G91),IF(_xlpm.total=0,"",IF(_xlpm.maxv/_xlpm.total&lt;0.5,"Mixed-Class",_xlfn.IFS(_xlpm.maxv=D91,"Assault",_xlpm.maxv=E91,"Engineer",_xlpm.maxv=F91,"Recon",_xlpm.maxv=G91,"Support"))))</f>
        <v>Mixed-Class</v>
      </c>
      <c r="J91" t="b">
        <f t="shared" si="12"/>
        <v>0</v>
      </c>
      <c r="K91" s="10">
        <f t="shared" si="13"/>
        <v>0.47908745247148288</v>
      </c>
      <c r="L91" s="11">
        <v>46059</v>
      </c>
    </row>
    <row r="92" spans="1:12" x14ac:dyDescent="0.25">
      <c r="A92" t="s">
        <v>129</v>
      </c>
      <c r="B92">
        <v>907</v>
      </c>
      <c r="C92">
        <v>21885</v>
      </c>
      <c r="D92" s="9">
        <v>25</v>
      </c>
      <c r="E92">
        <v>112</v>
      </c>
      <c r="F92">
        <v>115</v>
      </c>
      <c r="G92">
        <v>303</v>
      </c>
      <c r="H92">
        <f t="shared" si="11"/>
        <v>555</v>
      </c>
      <c r="I92" s="9" t="str" cm="1">
        <f t="array" ref="I92">_xlfn.LET(_xlpm.total,SUM(D92:G92),_xlpm.maxv,MAX(D92:G92),IF(_xlpm.total=0,"",IF(_xlpm.maxv/_xlpm.total&lt;0.5,"Mixed-Class",_xlfn.IFS(_xlpm.maxv=D92,"Assault",_xlpm.maxv=E92,"Engineer",_xlpm.maxv=F92,"Recon",_xlpm.maxv=G92,"Support"))))</f>
        <v>Support</v>
      </c>
      <c r="J92" t="b">
        <f t="shared" si="12"/>
        <v>1</v>
      </c>
      <c r="K92" s="10">
        <f t="shared" si="13"/>
        <v>0.54594594594594592</v>
      </c>
      <c r="L92" s="11">
        <v>46059</v>
      </c>
    </row>
    <row r="93" spans="1:12" x14ac:dyDescent="0.25">
      <c r="A93" t="s">
        <v>130</v>
      </c>
      <c r="B93">
        <v>917</v>
      </c>
      <c r="C93">
        <v>21836</v>
      </c>
      <c r="D93" s="9">
        <v>87</v>
      </c>
      <c r="E93">
        <v>110</v>
      </c>
      <c r="F93">
        <v>381</v>
      </c>
      <c r="G93">
        <v>132</v>
      </c>
      <c r="H93">
        <f t="shared" si="11"/>
        <v>710</v>
      </c>
      <c r="I93" s="9" t="str" cm="1">
        <f t="array" ref="I93">_xlfn.LET(_xlpm.total,SUM(D93:G93),_xlpm.maxv,MAX(D93:G93),IF(_xlpm.total=0,"",IF(_xlpm.maxv/_xlpm.total&lt;0.5,"Mixed-Class",_xlfn.IFS(_xlpm.maxv=D93,"Assault",_xlpm.maxv=E93,"Engineer",_xlpm.maxv=F93,"Recon",_xlpm.maxv=G93,"Support"))))</f>
        <v>Recon</v>
      </c>
      <c r="J93" t="b">
        <f t="shared" si="12"/>
        <v>1</v>
      </c>
      <c r="K93" s="10">
        <f t="shared" si="13"/>
        <v>0.53661971830985911</v>
      </c>
      <c r="L93" s="11">
        <v>46059</v>
      </c>
    </row>
    <row r="94" spans="1:12" x14ac:dyDescent="0.25">
      <c r="A94" t="s">
        <v>131</v>
      </c>
      <c r="B94">
        <v>927</v>
      </c>
      <c r="C94">
        <v>21815</v>
      </c>
      <c r="D94" s="9">
        <v>26</v>
      </c>
      <c r="E94">
        <v>71</v>
      </c>
      <c r="F94">
        <v>17</v>
      </c>
      <c r="G94">
        <v>261</v>
      </c>
      <c r="H94">
        <f t="shared" si="11"/>
        <v>375</v>
      </c>
      <c r="I94" s="9" t="str" cm="1">
        <f t="array" ref="I94">_xlfn.LET(_xlpm.total,SUM(D94:G94),_xlpm.maxv,MAX(D94:G94),IF(_xlpm.total=0,"",IF(_xlpm.maxv/_xlpm.total&lt;0.5,"Mixed-Class",_xlfn.IFS(_xlpm.maxv=D94,"Assault",_xlpm.maxv=E94,"Engineer",_xlpm.maxv=F94,"Recon",_xlpm.maxv=G94,"Support"))))</f>
        <v>Support</v>
      </c>
      <c r="J94" t="b">
        <f t="shared" si="12"/>
        <v>1</v>
      </c>
      <c r="K94" s="10">
        <f t="shared" si="13"/>
        <v>0.69599999999999995</v>
      </c>
      <c r="L94" s="11">
        <v>46059</v>
      </c>
    </row>
    <row r="95" spans="1:12" x14ac:dyDescent="0.25">
      <c r="A95" t="s">
        <v>132</v>
      </c>
      <c r="B95">
        <v>937</v>
      </c>
      <c r="C95">
        <v>21755</v>
      </c>
      <c r="D95" s="9">
        <v>119</v>
      </c>
      <c r="E95">
        <v>77</v>
      </c>
      <c r="F95">
        <v>48</v>
      </c>
      <c r="G95">
        <v>65</v>
      </c>
      <c r="H95">
        <f t="shared" si="11"/>
        <v>309</v>
      </c>
      <c r="I95" s="9" t="str" cm="1">
        <f t="array" ref="I95">_xlfn.LET(_xlpm.total,SUM(D95:G95),_xlpm.maxv,MAX(D95:G95),IF(_xlpm.total=0,"",IF(_xlpm.maxv/_xlpm.total&lt;0.5,"Mixed-Class",_xlfn.IFS(_xlpm.maxv=D95,"Assault",_xlpm.maxv=E95,"Engineer",_xlpm.maxv=F95,"Recon",_xlpm.maxv=G95,"Support"))))</f>
        <v>Mixed-Class</v>
      </c>
      <c r="J95" t="b">
        <f t="shared" si="12"/>
        <v>0</v>
      </c>
      <c r="K95" s="10">
        <f t="shared" si="13"/>
        <v>0.38511326860841422</v>
      </c>
      <c r="L95" s="11">
        <v>46059</v>
      </c>
    </row>
    <row r="96" spans="1:12" x14ac:dyDescent="0.25">
      <c r="A96" t="s">
        <v>133</v>
      </c>
      <c r="B96">
        <v>947</v>
      </c>
      <c r="C96">
        <v>21718</v>
      </c>
      <c r="D96" s="9">
        <v>53</v>
      </c>
      <c r="E96">
        <v>65</v>
      </c>
      <c r="F96">
        <v>29</v>
      </c>
      <c r="G96">
        <v>240</v>
      </c>
      <c r="H96">
        <f t="shared" si="11"/>
        <v>387</v>
      </c>
      <c r="I96" s="9" t="str" cm="1">
        <f t="array" ref="I96">_xlfn.LET(_xlpm.total,SUM(D96:G96),_xlpm.maxv,MAX(D96:G96),IF(_xlpm.total=0,"",IF(_xlpm.maxv/_xlpm.total&lt;0.5,"Mixed-Class",_xlfn.IFS(_xlpm.maxv=D96,"Assault",_xlpm.maxv=E96,"Engineer",_xlpm.maxv=F96,"Recon",_xlpm.maxv=G96,"Support"))))</f>
        <v>Support</v>
      </c>
      <c r="J96" t="b">
        <f t="shared" si="12"/>
        <v>1</v>
      </c>
      <c r="K96" s="10">
        <f t="shared" si="13"/>
        <v>0.62015503875968991</v>
      </c>
      <c r="L96" s="11">
        <v>46059</v>
      </c>
    </row>
    <row r="97" spans="1:12" x14ac:dyDescent="0.25">
      <c r="A97" t="s">
        <v>134</v>
      </c>
      <c r="B97">
        <v>957</v>
      </c>
      <c r="C97">
        <v>21683</v>
      </c>
      <c r="D97" s="9">
        <v>71</v>
      </c>
      <c r="E97">
        <v>95</v>
      </c>
      <c r="F97">
        <v>91</v>
      </c>
      <c r="G97">
        <v>151</v>
      </c>
      <c r="H97">
        <f t="shared" si="11"/>
        <v>408</v>
      </c>
      <c r="I97" s="9" t="str" cm="1">
        <f t="array" ref="I97">_xlfn.LET(_xlpm.total,SUM(D97:G97),_xlpm.maxv,MAX(D97:G97),IF(_xlpm.total=0,"",IF(_xlpm.maxv/_xlpm.total&lt;0.5,"Mixed-Class",_xlfn.IFS(_xlpm.maxv=D97,"Assault",_xlpm.maxv=E97,"Engineer",_xlpm.maxv=F97,"Recon",_xlpm.maxv=G97,"Support"))))</f>
        <v>Mixed-Class</v>
      </c>
      <c r="J97" t="b">
        <f t="shared" si="12"/>
        <v>0</v>
      </c>
      <c r="K97" s="10">
        <f t="shared" si="13"/>
        <v>0.37009803921568629</v>
      </c>
      <c r="L97" s="11">
        <v>46059</v>
      </c>
    </row>
    <row r="98" spans="1:12" x14ac:dyDescent="0.25">
      <c r="A98" t="s">
        <v>135</v>
      </c>
      <c r="B98">
        <v>967</v>
      </c>
      <c r="C98">
        <v>21629</v>
      </c>
      <c r="D98" s="9">
        <v>60</v>
      </c>
      <c r="E98">
        <v>25</v>
      </c>
      <c r="F98">
        <v>17</v>
      </c>
      <c r="G98">
        <v>228</v>
      </c>
      <c r="H98">
        <f t="shared" si="11"/>
        <v>330</v>
      </c>
      <c r="I98" s="9" t="str" cm="1">
        <f t="array" ref="I98">_xlfn.LET(_xlpm.total,SUM(D98:G98),_xlpm.maxv,MAX(D98:G98),IF(_xlpm.total=0,"",IF(_xlpm.maxv/_xlpm.total&lt;0.5,"Mixed-Class",_xlfn.IFS(_xlpm.maxv=D98,"Assault",_xlpm.maxv=E98,"Engineer",_xlpm.maxv=F98,"Recon",_xlpm.maxv=G98,"Support"))))</f>
        <v>Support</v>
      </c>
      <c r="J98" t="b">
        <f t="shared" si="12"/>
        <v>1</v>
      </c>
      <c r="K98" s="10">
        <f t="shared" si="13"/>
        <v>0.69090909090909092</v>
      </c>
      <c r="L98" s="11">
        <v>46059</v>
      </c>
    </row>
    <row r="99" spans="1:12" x14ac:dyDescent="0.25">
      <c r="A99" t="s">
        <v>136</v>
      </c>
      <c r="B99">
        <v>977</v>
      </c>
      <c r="C99">
        <v>21600</v>
      </c>
      <c r="D99" s="9">
        <v>75</v>
      </c>
      <c r="E99">
        <v>161</v>
      </c>
      <c r="F99">
        <v>106</v>
      </c>
      <c r="G99">
        <v>60</v>
      </c>
      <c r="H99">
        <f t="shared" si="11"/>
        <v>402</v>
      </c>
      <c r="I99" s="9" t="str" cm="1">
        <f t="array" ref="I99">_xlfn.LET(_xlpm.total,SUM(D99:G99),_xlpm.maxv,MAX(D99:G99),IF(_xlpm.total=0,"",IF(_xlpm.maxv/_xlpm.total&lt;0.5,"Mixed-Class",_xlfn.IFS(_xlpm.maxv=D99,"Assault",_xlpm.maxv=E99,"Engineer",_xlpm.maxv=F99,"Recon",_xlpm.maxv=G99,"Support"))))</f>
        <v>Mixed-Class</v>
      </c>
      <c r="J99" t="b">
        <f t="shared" si="12"/>
        <v>0</v>
      </c>
      <c r="K99" s="10">
        <f t="shared" si="13"/>
        <v>0.40049751243781095</v>
      </c>
      <c r="L99" s="11">
        <v>46059</v>
      </c>
    </row>
    <row r="100" spans="1:12" x14ac:dyDescent="0.25">
      <c r="A100" t="s">
        <v>137</v>
      </c>
      <c r="B100">
        <v>987</v>
      </c>
      <c r="C100">
        <v>21552</v>
      </c>
      <c r="D100" s="9">
        <v>60</v>
      </c>
      <c r="E100">
        <v>141</v>
      </c>
      <c r="F100">
        <v>214</v>
      </c>
      <c r="G100">
        <v>41</v>
      </c>
      <c r="H100">
        <f t="shared" si="11"/>
        <v>456</v>
      </c>
      <c r="I100" s="9" t="str" cm="1">
        <f t="array" ref="I100">_xlfn.LET(_xlpm.total,SUM(D100:G100),_xlpm.maxv,MAX(D100:G100),IF(_xlpm.total=0,"",IF(_xlpm.maxv/_xlpm.total&lt;0.5,"Mixed-Class",_xlfn.IFS(_xlpm.maxv=D100,"Assault",_xlpm.maxv=E100,"Engineer",_xlpm.maxv=F100,"Recon",_xlpm.maxv=G100,"Support"))))</f>
        <v>Mixed-Class</v>
      </c>
      <c r="J100" t="b">
        <f t="shared" si="12"/>
        <v>0</v>
      </c>
      <c r="K100" s="10">
        <f t="shared" si="13"/>
        <v>0.4692982456140351</v>
      </c>
      <c r="L100" s="11">
        <v>46059</v>
      </c>
    </row>
    <row r="101" spans="1:12" x14ac:dyDescent="0.25">
      <c r="A101" t="s">
        <v>138</v>
      </c>
      <c r="B101">
        <v>997</v>
      </c>
      <c r="C101">
        <v>21512</v>
      </c>
      <c r="D101" s="9">
        <v>34</v>
      </c>
      <c r="E101">
        <v>134</v>
      </c>
      <c r="F101">
        <v>83</v>
      </c>
      <c r="G101">
        <v>206</v>
      </c>
      <c r="H101">
        <f t="shared" si="11"/>
        <v>457</v>
      </c>
      <c r="I101" s="9" t="str" cm="1">
        <f t="array" ref="I101">_xlfn.LET(_xlpm.total,SUM(D101:G101),_xlpm.maxv,MAX(D101:G101),IF(_xlpm.total=0,"",IF(_xlpm.maxv/_xlpm.total&lt;0.5,"Mixed-Class",_xlfn.IFS(_xlpm.maxv=D101,"Assault",_xlpm.maxv=E101,"Engineer",_xlpm.maxv=F101,"Recon",_xlpm.maxv=G101,"Support"))))</f>
        <v>Mixed-Class</v>
      </c>
      <c r="J101" t="b">
        <f t="shared" si="12"/>
        <v>0</v>
      </c>
      <c r="K101" s="10">
        <f t="shared" si="13"/>
        <v>0.45076586433260396</v>
      </c>
      <c r="L101" s="11">
        <v>46059</v>
      </c>
    </row>
    <row r="102" spans="1:12" x14ac:dyDescent="0.25">
      <c r="B102">
        <v>1007</v>
      </c>
      <c r="H102">
        <f t="shared" si="8"/>
        <v>0</v>
      </c>
      <c r="I102" s="9" t="str" cm="1">
        <f t="array" ref="I102">_xlfn.LET(_xlpm.total,SUM(D102:G102),_xlpm.maxv,MAX(D102:G102),IF(_xlpm.total=0,"",IF(_xlpm.maxv/_xlpm.total&lt;0.5,"Mixed-Class",_xlfn.IFS(_xlpm.maxv=D102,"Assault",_xlpm.maxv=E102,"Engineer",_xlpm.maxv=F102,"Recon",_xlpm.maxv=G102,"Support"))))</f>
        <v/>
      </c>
      <c r="J102" t="str">
        <f t="shared" si="9"/>
        <v/>
      </c>
      <c r="K102" s="10" t="str">
        <f t="shared" ref="K102:K130" si="14">_xlfn.LET(_xlpm.total,SUM(D102:G102),IF(_xlpm.total=0,"",MAX(D102:G102)/_xlpm.total))</f>
        <v/>
      </c>
    </row>
    <row r="103" spans="1:12" x14ac:dyDescent="0.25">
      <c r="B103">
        <v>1017</v>
      </c>
      <c r="H103">
        <f t="shared" si="8"/>
        <v>0</v>
      </c>
      <c r="I103" s="9" t="str" cm="1">
        <f t="array" ref="I103">_xlfn.LET(_xlpm.total,SUM(D103:G103),_xlpm.maxv,MAX(D103:G103),IF(_xlpm.total=0,"",IF(_xlpm.maxv/_xlpm.total&lt;0.5,"Mixed-Class",_xlfn.IFS(_xlpm.maxv=D103,"Assault",_xlpm.maxv=E103,"Engineer",_xlpm.maxv=F103,"Recon",_xlpm.maxv=G103,"Support"))))</f>
        <v/>
      </c>
      <c r="J103" t="str">
        <f t="shared" si="9"/>
        <v/>
      </c>
      <c r="K103" s="10" t="str">
        <f t="shared" si="14"/>
        <v/>
      </c>
    </row>
    <row r="104" spans="1:12" x14ac:dyDescent="0.25">
      <c r="B104">
        <v>1027</v>
      </c>
      <c r="H104">
        <f t="shared" si="8"/>
        <v>0</v>
      </c>
      <c r="I104" s="9" t="str" cm="1">
        <f t="array" ref="I104">_xlfn.LET(_xlpm.total,SUM(D104:G104),_xlpm.maxv,MAX(D104:G104),IF(_xlpm.total=0,"",IF(_xlpm.maxv/_xlpm.total&lt;0.5,"Mixed-Class",_xlfn.IFS(_xlpm.maxv=D104,"Assault",_xlpm.maxv=E104,"Engineer",_xlpm.maxv=F104,"Recon",_xlpm.maxv=G104,"Support"))))</f>
        <v/>
      </c>
      <c r="J104" t="str">
        <f t="shared" si="9"/>
        <v/>
      </c>
      <c r="K104" s="10" t="str">
        <f t="shared" si="14"/>
        <v/>
      </c>
    </row>
    <row r="105" spans="1:12" x14ac:dyDescent="0.25">
      <c r="B105">
        <v>1037</v>
      </c>
      <c r="H105">
        <f t="shared" si="8"/>
        <v>0</v>
      </c>
      <c r="I105" s="9" t="str" cm="1">
        <f t="array" ref="I105">_xlfn.LET(_xlpm.total,SUM(D105:G105),_xlpm.maxv,MAX(D105:G105),IF(_xlpm.total=0,"",IF(_xlpm.maxv/_xlpm.total&lt;0.5,"Mixed-Class",_xlfn.IFS(_xlpm.maxv=D105,"Assault",_xlpm.maxv=E105,"Engineer",_xlpm.maxv=F105,"Recon",_xlpm.maxv=G105,"Support"))))</f>
        <v/>
      </c>
      <c r="J105" t="str">
        <f t="shared" si="9"/>
        <v/>
      </c>
      <c r="K105" s="10" t="str">
        <f t="shared" si="14"/>
        <v/>
      </c>
    </row>
    <row r="106" spans="1:12" x14ac:dyDescent="0.25">
      <c r="B106">
        <v>1047</v>
      </c>
      <c r="H106">
        <f t="shared" si="8"/>
        <v>0</v>
      </c>
      <c r="I106" s="9" t="str" cm="1">
        <f t="array" ref="I106">_xlfn.LET(_xlpm.total,SUM(D106:G106),_xlpm.maxv,MAX(D106:G106),IF(_xlpm.total=0,"",IF(_xlpm.maxv/_xlpm.total&lt;0.5,"Mixed-Class",_xlfn.IFS(_xlpm.maxv=D106,"Assault",_xlpm.maxv=E106,"Engineer",_xlpm.maxv=F106,"Recon",_xlpm.maxv=G106,"Support"))))</f>
        <v/>
      </c>
      <c r="J106" t="str">
        <f t="shared" si="9"/>
        <v/>
      </c>
      <c r="K106" s="10" t="str">
        <f t="shared" si="14"/>
        <v/>
      </c>
    </row>
    <row r="107" spans="1:12" x14ac:dyDescent="0.25">
      <c r="B107">
        <v>1057</v>
      </c>
      <c r="H107">
        <f t="shared" si="8"/>
        <v>0</v>
      </c>
      <c r="I107" s="9" t="str" cm="1">
        <f t="array" ref="I107">_xlfn.LET(_xlpm.total,SUM(D107:G107),_xlpm.maxv,MAX(D107:G107),IF(_xlpm.total=0,"",IF(_xlpm.maxv/_xlpm.total&lt;0.5,"Mixed-Class",_xlfn.IFS(_xlpm.maxv=D107,"Assault",_xlpm.maxv=E107,"Engineer",_xlpm.maxv=F107,"Recon",_xlpm.maxv=G107,"Support"))))</f>
        <v/>
      </c>
      <c r="J107" t="str">
        <f t="shared" si="9"/>
        <v/>
      </c>
      <c r="K107" s="10" t="str">
        <f t="shared" si="14"/>
        <v/>
      </c>
    </row>
    <row r="108" spans="1:12" x14ac:dyDescent="0.25">
      <c r="B108">
        <v>1067</v>
      </c>
      <c r="H108">
        <f t="shared" si="8"/>
        <v>0</v>
      </c>
      <c r="I108" s="9" t="str" cm="1">
        <f t="array" ref="I108">_xlfn.LET(_xlpm.total,SUM(D108:G108),_xlpm.maxv,MAX(D108:G108),IF(_xlpm.total=0,"",IF(_xlpm.maxv/_xlpm.total&lt;0.5,"Mixed-Class",_xlfn.IFS(_xlpm.maxv=D108,"Assault",_xlpm.maxv=E108,"Engineer",_xlpm.maxv=F108,"Recon",_xlpm.maxv=G108,"Support"))))</f>
        <v/>
      </c>
      <c r="J108" t="str">
        <f t="shared" si="9"/>
        <v/>
      </c>
      <c r="K108" s="10" t="str">
        <f t="shared" si="14"/>
        <v/>
      </c>
    </row>
    <row r="109" spans="1:12" x14ac:dyDescent="0.25">
      <c r="B109">
        <v>1077</v>
      </c>
      <c r="H109">
        <f t="shared" si="8"/>
        <v>0</v>
      </c>
      <c r="I109" s="9" t="str" cm="1">
        <f t="array" ref="I109">_xlfn.LET(_xlpm.total,SUM(D109:G109),_xlpm.maxv,MAX(D109:G109),IF(_xlpm.total=0,"",IF(_xlpm.maxv/_xlpm.total&lt;0.5,"Mixed-Class",_xlfn.IFS(_xlpm.maxv=D109,"Assault",_xlpm.maxv=E109,"Engineer",_xlpm.maxv=F109,"Recon",_xlpm.maxv=G109,"Support"))))</f>
        <v/>
      </c>
      <c r="J109" t="str">
        <f t="shared" si="9"/>
        <v/>
      </c>
      <c r="K109" s="10" t="str">
        <f t="shared" si="14"/>
        <v/>
      </c>
    </row>
    <row r="110" spans="1:12" x14ac:dyDescent="0.25">
      <c r="B110">
        <v>1087</v>
      </c>
      <c r="H110">
        <f t="shared" si="8"/>
        <v>0</v>
      </c>
      <c r="I110" s="9" t="str" cm="1">
        <f t="array" ref="I110">_xlfn.LET(_xlpm.total,SUM(D110:G110),_xlpm.maxv,MAX(D110:G110),IF(_xlpm.total=0,"",IF(_xlpm.maxv/_xlpm.total&lt;0.5,"Mixed-Class",_xlfn.IFS(_xlpm.maxv=D110,"Assault",_xlpm.maxv=E110,"Engineer",_xlpm.maxv=F110,"Recon",_xlpm.maxv=G110,"Support"))))</f>
        <v/>
      </c>
      <c r="J110" t="str">
        <f t="shared" si="9"/>
        <v/>
      </c>
      <c r="K110" s="10" t="str">
        <f t="shared" si="14"/>
        <v/>
      </c>
    </row>
    <row r="111" spans="1:12" x14ac:dyDescent="0.25">
      <c r="B111">
        <v>1097</v>
      </c>
      <c r="H111">
        <f t="shared" si="8"/>
        <v>0</v>
      </c>
      <c r="I111" s="9" t="str" cm="1">
        <f t="array" ref="I111">_xlfn.LET(_xlpm.total,SUM(D111:G111),_xlpm.maxv,MAX(D111:G111),IF(_xlpm.total=0,"",IF(_xlpm.maxv/_xlpm.total&lt;0.5,"Mixed-Class",_xlfn.IFS(_xlpm.maxv=D111,"Assault",_xlpm.maxv=E111,"Engineer",_xlpm.maxv=F111,"Recon",_xlpm.maxv=G111,"Support"))))</f>
        <v/>
      </c>
      <c r="J111" t="str">
        <f t="shared" si="9"/>
        <v/>
      </c>
      <c r="K111" s="10" t="str">
        <f t="shared" si="14"/>
        <v/>
      </c>
    </row>
    <row r="112" spans="1:12" x14ac:dyDescent="0.25">
      <c r="B112">
        <v>1107</v>
      </c>
      <c r="H112">
        <f t="shared" si="8"/>
        <v>0</v>
      </c>
      <c r="I112" s="9" t="str" cm="1">
        <f t="array" ref="I112">_xlfn.LET(_xlpm.total,SUM(D112:G112),_xlpm.maxv,MAX(D112:G112),IF(_xlpm.total=0,"",IF(_xlpm.maxv/_xlpm.total&lt;0.5,"Mixed-Class",_xlfn.IFS(_xlpm.maxv=D112,"Assault",_xlpm.maxv=E112,"Engineer",_xlpm.maxv=F112,"Recon",_xlpm.maxv=G112,"Support"))))</f>
        <v/>
      </c>
      <c r="J112" t="str">
        <f t="shared" si="9"/>
        <v/>
      </c>
      <c r="K112" s="10" t="str">
        <f t="shared" si="14"/>
        <v/>
      </c>
    </row>
    <row r="113" spans="2:11" x14ac:dyDescent="0.25">
      <c r="B113">
        <v>1117</v>
      </c>
      <c r="H113">
        <f t="shared" si="8"/>
        <v>0</v>
      </c>
      <c r="I113" s="9" t="str" cm="1">
        <f t="array" ref="I113">_xlfn.LET(_xlpm.total,SUM(D113:G113),_xlpm.maxv,MAX(D113:G113),IF(_xlpm.total=0,"",IF(_xlpm.maxv/_xlpm.total&lt;0.5,"Mixed-Class",_xlfn.IFS(_xlpm.maxv=D113,"Assault",_xlpm.maxv=E113,"Engineer",_xlpm.maxv=F113,"Recon",_xlpm.maxv=G113,"Support"))))</f>
        <v/>
      </c>
      <c r="J113" t="str">
        <f t="shared" si="9"/>
        <v/>
      </c>
      <c r="K113" s="10" t="str">
        <f t="shared" si="14"/>
        <v/>
      </c>
    </row>
    <row r="114" spans="2:11" x14ac:dyDescent="0.25">
      <c r="B114">
        <v>1127</v>
      </c>
      <c r="H114">
        <f t="shared" si="8"/>
        <v>0</v>
      </c>
      <c r="I114" s="9" t="str" cm="1">
        <f t="array" ref="I114">_xlfn.LET(_xlpm.total,SUM(D114:G114),_xlpm.maxv,MAX(D114:G114),IF(_xlpm.total=0,"",IF(_xlpm.maxv/_xlpm.total&lt;0.5,"Mixed-Class",_xlfn.IFS(_xlpm.maxv=D114,"Assault",_xlpm.maxv=E114,"Engineer",_xlpm.maxv=F114,"Recon",_xlpm.maxv=G114,"Support"))))</f>
        <v/>
      </c>
      <c r="J114" t="str">
        <f t="shared" si="9"/>
        <v/>
      </c>
      <c r="K114" s="10" t="str">
        <f t="shared" si="14"/>
        <v/>
      </c>
    </row>
    <row r="115" spans="2:11" x14ac:dyDescent="0.25">
      <c r="B115">
        <v>1137</v>
      </c>
      <c r="H115">
        <f t="shared" si="8"/>
        <v>0</v>
      </c>
      <c r="I115" s="9" t="str" cm="1">
        <f t="array" ref="I115">_xlfn.LET(_xlpm.total,SUM(D115:G115),_xlpm.maxv,MAX(D115:G115),IF(_xlpm.total=0,"",IF(_xlpm.maxv/_xlpm.total&lt;0.5,"Mixed-Class",_xlfn.IFS(_xlpm.maxv=D115,"Assault",_xlpm.maxv=E115,"Engineer",_xlpm.maxv=F115,"Recon",_xlpm.maxv=G115,"Support"))))</f>
        <v/>
      </c>
      <c r="J115" t="str">
        <f t="shared" si="9"/>
        <v/>
      </c>
      <c r="K115" s="10" t="str">
        <f t="shared" si="14"/>
        <v/>
      </c>
    </row>
    <row r="116" spans="2:11" x14ac:dyDescent="0.25">
      <c r="B116">
        <v>1147</v>
      </c>
      <c r="H116">
        <f t="shared" si="8"/>
        <v>0</v>
      </c>
      <c r="I116" s="9" t="str" cm="1">
        <f t="array" ref="I116">_xlfn.LET(_xlpm.total,SUM(D116:G116),_xlpm.maxv,MAX(D116:G116),IF(_xlpm.total=0,"",IF(_xlpm.maxv/_xlpm.total&lt;0.5,"Mixed-Class",_xlfn.IFS(_xlpm.maxv=D116,"Assault",_xlpm.maxv=E116,"Engineer",_xlpm.maxv=F116,"Recon",_xlpm.maxv=G116,"Support"))))</f>
        <v/>
      </c>
      <c r="J116" t="str">
        <f t="shared" si="9"/>
        <v/>
      </c>
      <c r="K116" s="10" t="str">
        <f t="shared" si="14"/>
        <v/>
      </c>
    </row>
    <row r="117" spans="2:11" x14ac:dyDescent="0.25">
      <c r="B117">
        <v>1157</v>
      </c>
      <c r="H117">
        <f t="shared" si="8"/>
        <v>0</v>
      </c>
      <c r="I117" s="9" t="str" cm="1">
        <f t="array" ref="I117">_xlfn.LET(_xlpm.total,SUM(D117:G117),_xlpm.maxv,MAX(D117:G117),IF(_xlpm.total=0,"",IF(_xlpm.maxv/_xlpm.total&lt;0.5,"Mixed-Class",_xlfn.IFS(_xlpm.maxv=D117,"Assault",_xlpm.maxv=E117,"Engineer",_xlpm.maxv=F117,"Recon",_xlpm.maxv=G117,"Support"))))</f>
        <v/>
      </c>
      <c r="J117" t="str">
        <f t="shared" si="9"/>
        <v/>
      </c>
      <c r="K117" s="10" t="str">
        <f t="shared" si="14"/>
        <v/>
      </c>
    </row>
    <row r="118" spans="2:11" x14ac:dyDescent="0.25">
      <c r="B118">
        <v>1167</v>
      </c>
      <c r="H118">
        <f t="shared" si="8"/>
        <v>0</v>
      </c>
      <c r="I118" s="9" t="str" cm="1">
        <f t="array" ref="I118">_xlfn.LET(_xlpm.total,SUM(D118:G118),_xlpm.maxv,MAX(D118:G118),IF(_xlpm.total=0,"",IF(_xlpm.maxv/_xlpm.total&lt;0.5,"Mixed-Class",_xlfn.IFS(_xlpm.maxv=D118,"Assault",_xlpm.maxv=E118,"Engineer",_xlpm.maxv=F118,"Recon",_xlpm.maxv=G118,"Support"))))</f>
        <v/>
      </c>
      <c r="J118" t="str">
        <f t="shared" si="9"/>
        <v/>
      </c>
      <c r="K118" s="10" t="str">
        <f t="shared" si="14"/>
        <v/>
      </c>
    </row>
    <row r="119" spans="2:11" x14ac:dyDescent="0.25">
      <c r="B119">
        <v>1177</v>
      </c>
      <c r="H119">
        <f t="shared" si="8"/>
        <v>0</v>
      </c>
      <c r="I119" s="9" t="str" cm="1">
        <f t="array" ref="I119">_xlfn.LET(_xlpm.total,SUM(D119:G119),_xlpm.maxv,MAX(D119:G119),IF(_xlpm.total=0,"",IF(_xlpm.maxv/_xlpm.total&lt;0.5,"Mixed-Class",_xlfn.IFS(_xlpm.maxv=D119,"Assault",_xlpm.maxv=E119,"Engineer",_xlpm.maxv=F119,"Recon",_xlpm.maxv=G119,"Support"))))</f>
        <v/>
      </c>
      <c r="J119" t="str">
        <f t="shared" si="9"/>
        <v/>
      </c>
      <c r="K119" s="10" t="str">
        <f t="shared" si="14"/>
        <v/>
      </c>
    </row>
    <row r="120" spans="2:11" x14ac:dyDescent="0.25">
      <c r="B120">
        <v>1187</v>
      </c>
      <c r="H120">
        <f t="shared" si="8"/>
        <v>0</v>
      </c>
      <c r="I120" s="9" t="str" cm="1">
        <f t="array" ref="I120">_xlfn.LET(_xlpm.total,SUM(D120:G120),_xlpm.maxv,MAX(D120:G120),IF(_xlpm.total=0,"",IF(_xlpm.maxv/_xlpm.total&lt;0.5,"Mixed-Class",_xlfn.IFS(_xlpm.maxv=D120,"Assault",_xlpm.maxv=E120,"Engineer",_xlpm.maxv=F120,"Recon",_xlpm.maxv=G120,"Support"))))</f>
        <v/>
      </c>
      <c r="J120" t="str">
        <f t="shared" si="9"/>
        <v/>
      </c>
      <c r="K120" s="10" t="str">
        <f t="shared" si="14"/>
        <v/>
      </c>
    </row>
    <row r="121" spans="2:11" x14ac:dyDescent="0.25">
      <c r="B121">
        <v>1197</v>
      </c>
      <c r="H121">
        <f t="shared" si="8"/>
        <v>0</v>
      </c>
      <c r="I121" s="9" t="str" cm="1">
        <f t="array" ref="I121">_xlfn.LET(_xlpm.total,SUM(D121:G121),_xlpm.maxv,MAX(D121:G121),IF(_xlpm.total=0,"",IF(_xlpm.maxv/_xlpm.total&lt;0.5,"Mixed-Class",_xlfn.IFS(_xlpm.maxv=D121,"Assault",_xlpm.maxv=E121,"Engineer",_xlpm.maxv=F121,"Recon",_xlpm.maxv=G121,"Support"))))</f>
        <v/>
      </c>
      <c r="J121" t="str">
        <f t="shared" si="9"/>
        <v/>
      </c>
      <c r="K121" s="10" t="str">
        <f t="shared" si="14"/>
        <v/>
      </c>
    </row>
    <row r="122" spans="2:11" x14ac:dyDescent="0.25">
      <c r="B122">
        <v>1207</v>
      </c>
      <c r="H122">
        <f t="shared" si="8"/>
        <v>0</v>
      </c>
      <c r="I122" s="9" t="str" cm="1">
        <f t="array" ref="I122">_xlfn.LET(_xlpm.total,SUM(D122:G122),_xlpm.maxv,MAX(D122:G122),IF(_xlpm.total=0,"",IF(_xlpm.maxv/_xlpm.total&lt;0.5,"Mixed-Class",_xlfn.IFS(_xlpm.maxv=D122,"Assault",_xlpm.maxv=E122,"Engineer",_xlpm.maxv=F122,"Recon",_xlpm.maxv=G122,"Support"))))</f>
        <v/>
      </c>
      <c r="J122" t="str">
        <f t="shared" si="9"/>
        <v/>
      </c>
      <c r="K122" s="10" t="str">
        <f t="shared" si="14"/>
        <v/>
      </c>
    </row>
    <row r="123" spans="2:11" x14ac:dyDescent="0.25">
      <c r="B123">
        <v>1217</v>
      </c>
      <c r="H123">
        <f t="shared" si="8"/>
        <v>0</v>
      </c>
      <c r="I123" s="9" t="str" cm="1">
        <f t="array" ref="I123">_xlfn.LET(_xlpm.total,SUM(D123:G123),_xlpm.maxv,MAX(D123:G123),IF(_xlpm.total=0,"",IF(_xlpm.maxv/_xlpm.total&lt;0.5,"Mixed-Class",_xlfn.IFS(_xlpm.maxv=D123,"Assault",_xlpm.maxv=E123,"Engineer",_xlpm.maxv=F123,"Recon",_xlpm.maxv=G123,"Support"))))</f>
        <v/>
      </c>
      <c r="J123" t="str">
        <f t="shared" si="9"/>
        <v/>
      </c>
      <c r="K123" s="10" t="str">
        <f t="shared" si="14"/>
        <v/>
      </c>
    </row>
    <row r="124" spans="2:11" x14ac:dyDescent="0.25">
      <c r="B124">
        <v>1227</v>
      </c>
      <c r="H124">
        <f t="shared" si="8"/>
        <v>0</v>
      </c>
      <c r="I124" s="9" t="str" cm="1">
        <f t="array" ref="I124">_xlfn.LET(_xlpm.total,SUM(D124:G124),_xlpm.maxv,MAX(D124:G124),IF(_xlpm.total=0,"",IF(_xlpm.maxv/_xlpm.total&lt;0.5,"Mixed-Class",_xlfn.IFS(_xlpm.maxv=D124,"Assault",_xlpm.maxv=E124,"Engineer",_xlpm.maxv=F124,"Recon",_xlpm.maxv=G124,"Support"))))</f>
        <v/>
      </c>
      <c r="J124" t="str">
        <f t="shared" si="9"/>
        <v/>
      </c>
      <c r="K124" s="10" t="str">
        <f t="shared" si="14"/>
        <v/>
      </c>
    </row>
    <row r="125" spans="2:11" x14ac:dyDescent="0.25">
      <c r="B125">
        <v>1237</v>
      </c>
      <c r="H125">
        <f t="shared" si="8"/>
        <v>0</v>
      </c>
      <c r="I125" s="9" t="str" cm="1">
        <f t="array" ref="I125">_xlfn.LET(_xlpm.total,SUM(D125:G125),_xlpm.maxv,MAX(D125:G125),IF(_xlpm.total=0,"",IF(_xlpm.maxv/_xlpm.total&lt;0.5,"Mixed-Class",_xlfn.IFS(_xlpm.maxv=D125,"Assault",_xlpm.maxv=E125,"Engineer",_xlpm.maxv=F125,"Recon",_xlpm.maxv=G125,"Support"))))</f>
        <v/>
      </c>
      <c r="J125" t="str">
        <f t="shared" si="9"/>
        <v/>
      </c>
      <c r="K125" s="10" t="str">
        <f t="shared" si="14"/>
        <v/>
      </c>
    </row>
    <row r="126" spans="2:11" x14ac:dyDescent="0.25">
      <c r="B126">
        <v>1247</v>
      </c>
      <c r="H126">
        <f t="shared" si="8"/>
        <v>0</v>
      </c>
      <c r="I126" s="9" t="str" cm="1">
        <f t="array" ref="I126">_xlfn.LET(_xlpm.total,SUM(D126:G126),_xlpm.maxv,MAX(D126:G126),IF(_xlpm.total=0,"",IF(_xlpm.maxv/_xlpm.total&lt;0.5,"Mixed-Class",_xlfn.IFS(_xlpm.maxv=D126,"Assault",_xlpm.maxv=E126,"Engineer",_xlpm.maxv=F126,"Recon",_xlpm.maxv=G126,"Support"))))</f>
        <v/>
      </c>
      <c r="J126" t="str">
        <f t="shared" si="9"/>
        <v/>
      </c>
      <c r="K126" s="10" t="str">
        <f t="shared" si="14"/>
        <v/>
      </c>
    </row>
    <row r="127" spans="2:11" x14ac:dyDescent="0.25">
      <c r="B127">
        <v>1257</v>
      </c>
      <c r="H127">
        <f t="shared" si="8"/>
        <v>0</v>
      </c>
      <c r="I127" s="9" t="str" cm="1">
        <f t="array" ref="I127">_xlfn.LET(_xlpm.total,SUM(D127:G127),_xlpm.maxv,MAX(D127:G127),IF(_xlpm.total=0,"",IF(_xlpm.maxv/_xlpm.total&lt;0.5,"Mixed-Class",_xlfn.IFS(_xlpm.maxv=D127,"Assault",_xlpm.maxv=E127,"Engineer",_xlpm.maxv=F127,"Recon",_xlpm.maxv=G127,"Support"))))</f>
        <v/>
      </c>
      <c r="J127" t="str">
        <f t="shared" si="9"/>
        <v/>
      </c>
      <c r="K127" s="10" t="str">
        <f t="shared" si="14"/>
        <v/>
      </c>
    </row>
    <row r="128" spans="2:11" x14ac:dyDescent="0.25">
      <c r="B128">
        <v>1267</v>
      </c>
      <c r="H128">
        <f t="shared" si="8"/>
        <v>0</v>
      </c>
      <c r="I128" s="9" t="str" cm="1">
        <f t="array" ref="I128">_xlfn.LET(_xlpm.total,SUM(D128:G128),_xlpm.maxv,MAX(D128:G128),IF(_xlpm.total=0,"",IF(_xlpm.maxv/_xlpm.total&lt;0.5,"Mixed-Class",_xlfn.IFS(_xlpm.maxv=D128,"Assault",_xlpm.maxv=E128,"Engineer",_xlpm.maxv=F128,"Recon",_xlpm.maxv=G128,"Support"))))</f>
        <v/>
      </c>
      <c r="J128" t="str">
        <f t="shared" si="9"/>
        <v/>
      </c>
      <c r="K128" s="10" t="str">
        <f t="shared" si="14"/>
        <v/>
      </c>
    </row>
    <row r="129" spans="2:11" x14ac:dyDescent="0.25">
      <c r="B129">
        <v>1277</v>
      </c>
      <c r="H129">
        <f t="shared" si="8"/>
        <v>0</v>
      </c>
      <c r="I129" s="9" t="str" cm="1">
        <f t="array" ref="I129">_xlfn.LET(_xlpm.total,SUM(D129:G129),_xlpm.maxv,MAX(D129:G129),IF(_xlpm.total=0,"",IF(_xlpm.maxv/_xlpm.total&lt;0.5,"Mixed-Class",_xlfn.IFS(_xlpm.maxv=D129,"Assault",_xlpm.maxv=E129,"Engineer",_xlpm.maxv=F129,"Recon",_xlpm.maxv=G129,"Support"))))</f>
        <v/>
      </c>
      <c r="J129" t="str">
        <f t="shared" si="9"/>
        <v/>
      </c>
      <c r="K129" s="10" t="str">
        <f t="shared" si="14"/>
        <v/>
      </c>
    </row>
    <row r="130" spans="2:11" x14ac:dyDescent="0.25">
      <c r="B130">
        <v>1287</v>
      </c>
      <c r="H130">
        <f t="shared" si="8"/>
        <v>0</v>
      </c>
      <c r="I130" s="9" t="str" cm="1">
        <f t="array" ref="I130">_xlfn.LET(_xlpm.total,SUM(D130:G130),_xlpm.maxv,MAX(D130:G130),IF(_xlpm.total=0,"",IF(_xlpm.maxv/_xlpm.total&lt;0.5,"Mixed-Class",_xlfn.IFS(_xlpm.maxv=D130,"Assault",_xlpm.maxv=E130,"Engineer",_xlpm.maxv=F130,"Recon",_xlpm.maxv=G130,"Support"))))</f>
        <v/>
      </c>
      <c r="J130" t="str">
        <f t="shared" si="9"/>
        <v/>
      </c>
      <c r="K130" s="10" t="str">
        <f t="shared" si="14"/>
        <v/>
      </c>
    </row>
    <row r="131" spans="2:11" x14ac:dyDescent="0.25">
      <c r="B131">
        <v>1297</v>
      </c>
      <c r="H131">
        <f t="shared" ref="H131:H194" si="15">SUM(D131:G131)</f>
        <v>0</v>
      </c>
      <c r="I131" s="9" t="str" cm="1">
        <f t="array" ref="I131">_xlfn.LET(_xlpm.total,SUM(D131:G131),_xlpm.maxv,MAX(D131:G131),IF(_xlpm.total=0,"",IF(_xlpm.maxv/_xlpm.total&lt;0.5,"Mixed-Class",_xlfn.IFS(_xlpm.maxv=D131,"Assault",_xlpm.maxv=E131,"Engineer",_xlpm.maxv=F131,"Recon",_xlpm.maxv=G131,"Support"))))</f>
        <v/>
      </c>
      <c r="J131" t="str">
        <f t="shared" ref="J131:J194" si="16">_xlfn.LET(_xlpm.total,SUM(D131:G131),IF(_xlpm.total=0,"",MAX(D131:G131)/_xlpm.total&gt;=0.5))</f>
        <v/>
      </c>
      <c r="K131" s="10" t="str">
        <f t="shared" ref="K131:K194" si="17">_xlfn.LET(_xlpm.total,SUM(D131:G131),IF(_xlpm.total=0,"",MAX(D131:G131)/_xlpm.total))</f>
        <v/>
      </c>
    </row>
    <row r="132" spans="2:11" x14ac:dyDescent="0.25">
      <c r="B132">
        <v>1307</v>
      </c>
      <c r="H132">
        <f t="shared" si="15"/>
        <v>0</v>
      </c>
      <c r="I132" s="9" t="str" cm="1">
        <f t="array" ref="I132">_xlfn.LET(_xlpm.total,SUM(D132:G132),_xlpm.maxv,MAX(D132:G132),IF(_xlpm.total=0,"",IF(_xlpm.maxv/_xlpm.total&lt;0.5,"Mixed-Class",_xlfn.IFS(_xlpm.maxv=D132,"Assault",_xlpm.maxv=E132,"Engineer",_xlpm.maxv=F132,"Recon",_xlpm.maxv=G132,"Support"))))</f>
        <v/>
      </c>
      <c r="J132" t="str">
        <f t="shared" si="16"/>
        <v/>
      </c>
      <c r="K132" s="10" t="str">
        <f t="shared" si="17"/>
        <v/>
      </c>
    </row>
    <row r="133" spans="2:11" x14ac:dyDescent="0.25">
      <c r="B133">
        <v>1317</v>
      </c>
      <c r="H133">
        <f t="shared" si="15"/>
        <v>0</v>
      </c>
      <c r="I133" s="9" t="str" cm="1">
        <f t="array" ref="I133">_xlfn.LET(_xlpm.total,SUM(D133:G133),_xlpm.maxv,MAX(D133:G133),IF(_xlpm.total=0,"",IF(_xlpm.maxv/_xlpm.total&lt;0.5,"Mixed-Class",_xlfn.IFS(_xlpm.maxv=D133,"Assault",_xlpm.maxv=E133,"Engineer",_xlpm.maxv=F133,"Recon",_xlpm.maxv=G133,"Support"))))</f>
        <v/>
      </c>
      <c r="J133" t="str">
        <f t="shared" si="16"/>
        <v/>
      </c>
      <c r="K133" s="10" t="str">
        <f t="shared" si="17"/>
        <v/>
      </c>
    </row>
    <row r="134" spans="2:11" x14ac:dyDescent="0.25">
      <c r="B134">
        <v>1327</v>
      </c>
      <c r="H134">
        <f t="shared" si="15"/>
        <v>0</v>
      </c>
      <c r="I134" s="9" t="str" cm="1">
        <f t="array" ref="I134">_xlfn.LET(_xlpm.total,SUM(D134:G134),_xlpm.maxv,MAX(D134:G134),IF(_xlpm.total=0,"",IF(_xlpm.maxv/_xlpm.total&lt;0.5,"Mixed-Class",_xlfn.IFS(_xlpm.maxv=D134,"Assault",_xlpm.maxv=E134,"Engineer",_xlpm.maxv=F134,"Recon",_xlpm.maxv=G134,"Support"))))</f>
        <v/>
      </c>
      <c r="J134" t="str">
        <f t="shared" si="16"/>
        <v/>
      </c>
      <c r="K134" s="10" t="str">
        <f t="shared" si="17"/>
        <v/>
      </c>
    </row>
    <row r="135" spans="2:11" x14ac:dyDescent="0.25">
      <c r="B135">
        <v>1337</v>
      </c>
      <c r="H135">
        <f t="shared" si="15"/>
        <v>0</v>
      </c>
      <c r="I135" s="9" t="str" cm="1">
        <f t="array" ref="I135">_xlfn.LET(_xlpm.total,SUM(D135:G135),_xlpm.maxv,MAX(D135:G135),IF(_xlpm.total=0,"",IF(_xlpm.maxv/_xlpm.total&lt;0.5,"Mixed-Class",_xlfn.IFS(_xlpm.maxv=D135,"Assault",_xlpm.maxv=E135,"Engineer",_xlpm.maxv=F135,"Recon",_xlpm.maxv=G135,"Support"))))</f>
        <v/>
      </c>
      <c r="J135" t="str">
        <f t="shared" si="16"/>
        <v/>
      </c>
      <c r="K135" s="10" t="str">
        <f t="shared" si="17"/>
        <v/>
      </c>
    </row>
    <row r="136" spans="2:11" x14ac:dyDescent="0.25">
      <c r="B136">
        <v>1347</v>
      </c>
      <c r="H136">
        <f t="shared" si="15"/>
        <v>0</v>
      </c>
      <c r="I136" s="9" t="str" cm="1">
        <f t="array" ref="I136">_xlfn.LET(_xlpm.total,SUM(D136:G136),_xlpm.maxv,MAX(D136:G136),IF(_xlpm.total=0,"",IF(_xlpm.maxv/_xlpm.total&lt;0.5,"Mixed-Class",_xlfn.IFS(_xlpm.maxv=D136,"Assault",_xlpm.maxv=E136,"Engineer",_xlpm.maxv=F136,"Recon",_xlpm.maxv=G136,"Support"))))</f>
        <v/>
      </c>
      <c r="J136" t="str">
        <f t="shared" si="16"/>
        <v/>
      </c>
      <c r="K136" s="10" t="str">
        <f t="shared" si="17"/>
        <v/>
      </c>
    </row>
    <row r="137" spans="2:11" x14ac:dyDescent="0.25">
      <c r="B137">
        <v>1357</v>
      </c>
      <c r="H137">
        <f t="shared" si="15"/>
        <v>0</v>
      </c>
      <c r="I137" s="9" t="str" cm="1">
        <f t="array" ref="I137">_xlfn.LET(_xlpm.total,SUM(D137:G137),_xlpm.maxv,MAX(D137:G137),IF(_xlpm.total=0,"",IF(_xlpm.maxv/_xlpm.total&lt;0.5,"Mixed-Class",_xlfn.IFS(_xlpm.maxv=D137,"Assault",_xlpm.maxv=E137,"Engineer",_xlpm.maxv=F137,"Recon",_xlpm.maxv=G137,"Support"))))</f>
        <v/>
      </c>
      <c r="J137" t="str">
        <f t="shared" si="16"/>
        <v/>
      </c>
      <c r="K137" s="10" t="str">
        <f t="shared" si="17"/>
        <v/>
      </c>
    </row>
    <row r="138" spans="2:11" x14ac:dyDescent="0.25">
      <c r="B138">
        <v>1367</v>
      </c>
      <c r="H138">
        <f t="shared" si="15"/>
        <v>0</v>
      </c>
      <c r="I138" s="9" t="str" cm="1">
        <f t="array" ref="I138">_xlfn.LET(_xlpm.total,SUM(D138:G138),_xlpm.maxv,MAX(D138:G138),IF(_xlpm.total=0,"",IF(_xlpm.maxv/_xlpm.total&lt;0.5,"Mixed-Class",_xlfn.IFS(_xlpm.maxv=D138,"Assault",_xlpm.maxv=E138,"Engineer",_xlpm.maxv=F138,"Recon",_xlpm.maxv=G138,"Support"))))</f>
        <v/>
      </c>
      <c r="J138" t="str">
        <f t="shared" si="16"/>
        <v/>
      </c>
      <c r="K138" s="10" t="str">
        <f t="shared" si="17"/>
        <v/>
      </c>
    </row>
    <row r="139" spans="2:11" x14ac:dyDescent="0.25">
      <c r="B139">
        <v>1377</v>
      </c>
      <c r="H139">
        <f t="shared" si="15"/>
        <v>0</v>
      </c>
      <c r="I139" s="9" t="str" cm="1">
        <f t="array" ref="I139">_xlfn.LET(_xlpm.total,SUM(D139:G139),_xlpm.maxv,MAX(D139:G139),IF(_xlpm.total=0,"",IF(_xlpm.maxv/_xlpm.total&lt;0.5,"Mixed-Class",_xlfn.IFS(_xlpm.maxv=D139,"Assault",_xlpm.maxv=E139,"Engineer",_xlpm.maxv=F139,"Recon",_xlpm.maxv=G139,"Support"))))</f>
        <v/>
      </c>
      <c r="J139" t="str">
        <f t="shared" si="16"/>
        <v/>
      </c>
      <c r="K139" s="10" t="str">
        <f t="shared" si="17"/>
        <v/>
      </c>
    </row>
    <row r="140" spans="2:11" x14ac:dyDescent="0.25">
      <c r="B140">
        <v>1387</v>
      </c>
      <c r="H140">
        <f t="shared" si="15"/>
        <v>0</v>
      </c>
      <c r="I140" s="9" t="str" cm="1">
        <f t="array" ref="I140">_xlfn.LET(_xlpm.total,SUM(D140:G140),_xlpm.maxv,MAX(D140:G140),IF(_xlpm.total=0,"",IF(_xlpm.maxv/_xlpm.total&lt;0.5,"Mixed-Class",_xlfn.IFS(_xlpm.maxv=D140,"Assault",_xlpm.maxv=E140,"Engineer",_xlpm.maxv=F140,"Recon",_xlpm.maxv=G140,"Support"))))</f>
        <v/>
      </c>
      <c r="J140" t="str">
        <f t="shared" si="16"/>
        <v/>
      </c>
      <c r="K140" s="10" t="str">
        <f t="shared" si="17"/>
        <v/>
      </c>
    </row>
    <row r="141" spans="2:11" x14ac:dyDescent="0.25">
      <c r="B141">
        <v>1397</v>
      </c>
      <c r="H141">
        <f t="shared" si="15"/>
        <v>0</v>
      </c>
      <c r="I141" s="9" t="str" cm="1">
        <f t="array" ref="I141">_xlfn.LET(_xlpm.total,SUM(D141:G141),_xlpm.maxv,MAX(D141:G141),IF(_xlpm.total=0,"",IF(_xlpm.maxv/_xlpm.total&lt;0.5,"Mixed-Class",_xlfn.IFS(_xlpm.maxv=D141,"Assault",_xlpm.maxv=E141,"Engineer",_xlpm.maxv=F141,"Recon",_xlpm.maxv=G141,"Support"))))</f>
        <v/>
      </c>
      <c r="J141" t="str">
        <f t="shared" si="16"/>
        <v/>
      </c>
      <c r="K141" s="10" t="str">
        <f t="shared" si="17"/>
        <v/>
      </c>
    </row>
    <row r="142" spans="2:11" x14ac:dyDescent="0.25">
      <c r="B142">
        <v>1407</v>
      </c>
      <c r="H142">
        <f t="shared" si="15"/>
        <v>0</v>
      </c>
      <c r="I142" s="9" t="str" cm="1">
        <f t="array" ref="I142">_xlfn.LET(_xlpm.total,SUM(D142:G142),_xlpm.maxv,MAX(D142:G142),IF(_xlpm.total=0,"",IF(_xlpm.maxv/_xlpm.total&lt;0.5,"Mixed-Class",_xlfn.IFS(_xlpm.maxv=D142,"Assault",_xlpm.maxv=E142,"Engineer",_xlpm.maxv=F142,"Recon",_xlpm.maxv=G142,"Support"))))</f>
        <v/>
      </c>
      <c r="J142" t="str">
        <f t="shared" si="16"/>
        <v/>
      </c>
      <c r="K142" s="10" t="str">
        <f t="shared" si="17"/>
        <v/>
      </c>
    </row>
    <row r="143" spans="2:11" x14ac:dyDescent="0.25">
      <c r="B143">
        <v>1417</v>
      </c>
      <c r="H143">
        <f t="shared" si="15"/>
        <v>0</v>
      </c>
      <c r="I143" s="9" t="str" cm="1">
        <f t="array" ref="I143">_xlfn.LET(_xlpm.total,SUM(D143:G143),_xlpm.maxv,MAX(D143:G143),IF(_xlpm.total=0,"",IF(_xlpm.maxv/_xlpm.total&lt;0.5,"Mixed-Class",_xlfn.IFS(_xlpm.maxv=D143,"Assault",_xlpm.maxv=E143,"Engineer",_xlpm.maxv=F143,"Recon",_xlpm.maxv=G143,"Support"))))</f>
        <v/>
      </c>
      <c r="J143" t="str">
        <f t="shared" si="16"/>
        <v/>
      </c>
      <c r="K143" s="10" t="str">
        <f t="shared" si="17"/>
        <v/>
      </c>
    </row>
    <row r="144" spans="2:11" x14ac:dyDescent="0.25">
      <c r="B144">
        <v>1427</v>
      </c>
      <c r="H144">
        <f t="shared" si="15"/>
        <v>0</v>
      </c>
      <c r="I144" s="9" t="str" cm="1">
        <f t="array" ref="I144">_xlfn.LET(_xlpm.total,SUM(D144:G144),_xlpm.maxv,MAX(D144:G144),IF(_xlpm.total=0,"",IF(_xlpm.maxv/_xlpm.total&lt;0.5,"Mixed-Class",_xlfn.IFS(_xlpm.maxv=D144,"Assault",_xlpm.maxv=E144,"Engineer",_xlpm.maxv=F144,"Recon",_xlpm.maxv=G144,"Support"))))</f>
        <v/>
      </c>
      <c r="J144" t="str">
        <f t="shared" si="16"/>
        <v/>
      </c>
      <c r="K144" s="10" t="str">
        <f t="shared" si="17"/>
        <v/>
      </c>
    </row>
    <row r="145" spans="2:11" x14ac:dyDescent="0.25">
      <c r="B145">
        <v>1437</v>
      </c>
      <c r="H145">
        <f t="shared" si="15"/>
        <v>0</v>
      </c>
      <c r="I145" s="9" t="str" cm="1">
        <f t="array" ref="I145">_xlfn.LET(_xlpm.total,SUM(D145:G145),_xlpm.maxv,MAX(D145:G145),IF(_xlpm.total=0,"",IF(_xlpm.maxv/_xlpm.total&lt;0.5,"Mixed-Class",_xlfn.IFS(_xlpm.maxv=D145,"Assault",_xlpm.maxv=E145,"Engineer",_xlpm.maxv=F145,"Recon",_xlpm.maxv=G145,"Support"))))</f>
        <v/>
      </c>
      <c r="J145" t="str">
        <f t="shared" si="16"/>
        <v/>
      </c>
      <c r="K145" s="10" t="str">
        <f t="shared" si="17"/>
        <v/>
      </c>
    </row>
    <row r="146" spans="2:11" x14ac:dyDescent="0.25">
      <c r="B146">
        <v>1447</v>
      </c>
      <c r="H146">
        <f t="shared" si="15"/>
        <v>0</v>
      </c>
      <c r="I146" s="9" t="str" cm="1">
        <f t="array" ref="I146">_xlfn.LET(_xlpm.total,SUM(D146:G146),_xlpm.maxv,MAX(D146:G146),IF(_xlpm.total=0,"",IF(_xlpm.maxv/_xlpm.total&lt;0.5,"Mixed-Class",_xlfn.IFS(_xlpm.maxv=D146,"Assault",_xlpm.maxv=E146,"Engineer",_xlpm.maxv=F146,"Recon",_xlpm.maxv=G146,"Support"))))</f>
        <v/>
      </c>
      <c r="J146" t="str">
        <f t="shared" si="16"/>
        <v/>
      </c>
      <c r="K146" s="10" t="str">
        <f t="shared" si="17"/>
        <v/>
      </c>
    </row>
    <row r="147" spans="2:11" x14ac:dyDescent="0.25">
      <c r="B147">
        <v>1457</v>
      </c>
      <c r="H147">
        <f t="shared" si="15"/>
        <v>0</v>
      </c>
      <c r="I147" s="9" t="str" cm="1">
        <f t="array" ref="I147">_xlfn.LET(_xlpm.total,SUM(D147:G147),_xlpm.maxv,MAX(D147:G147),IF(_xlpm.total=0,"",IF(_xlpm.maxv/_xlpm.total&lt;0.5,"Mixed-Class",_xlfn.IFS(_xlpm.maxv=D147,"Assault",_xlpm.maxv=E147,"Engineer",_xlpm.maxv=F147,"Recon",_xlpm.maxv=G147,"Support"))))</f>
        <v/>
      </c>
      <c r="J147" t="str">
        <f t="shared" si="16"/>
        <v/>
      </c>
      <c r="K147" s="10" t="str">
        <f t="shared" si="17"/>
        <v/>
      </c>
    </row>
    <row r="148" spans="2:11" x14ac:dyDescent="0.25">
      <c r="B148">
        <v>1467</v>
      </c>
      <c r="H148">
        <f t="shared" si="15"/>
        <v>0</v>
      </c>
      <c r="I148" s="9" t="str" cm="1">
        <f t="array" ref="I148">_xlfn.LET(_xlpm.total,SUM(D148:G148),_xlpm.maxv,MAX(D148:G148),IF(_xlpm.total=0,"",IF(_xlpm.maxv/_xlpm.total&lt;0.5,"Mixed-Class",_xlfn.IFS(_xlpm.maxv=D148,"Assault",_xlpm.maxv=E148,"Engineer",_xlpm.maxv=F148,"Recon",_xlpm.maxv=G148,"Support"))))</f>
        <v/>
      </c>
      <c r="J148" t="str">
        <f t="shared" si="16"/>
        <v/>
      </c>
      <c r="K148" s="10" t="str">
        <f t="shared" si="17"/>
        <v/>
      </c>
    </row>
    <row r="149" spans="2:11" x14ac:dyDescent="0.25">
      <c r="B149">
        <v>1477</v>
      </c>
      <c r="H149">
        <f t="shared" si="15"/>
        <v>0</v>
      </c>
      <c r="I149" s="9" t="str" cm="1">
        <f t="array" ref="I149">_xlfn.LET(_xlpm.total,SUM(D149:G149),_xlpm.maxv,MAX(D149:G149),IF(_xlpm.total=0,"",IF(_xlpm.maxv/_xlpm.total&lt;0.5,"Mixed-Class",_xlfn.IFS(_xlpm.maxv=D149,"Assault",_xlpm.maxv=E149,"Engineer",_xlpm.maxv=F149,"Recon",_xlpm.maxv=G149,"Support"))))</f>
        <v/>
      </c>
      <c r="J149" t="str">
        <f t="shared" si="16"/>
        <v/>
      </c>
      <c r="K149" s="10" t="str">
        <f t="shared" si="17"/>
        <v/>
      </c>
    </row>
    <row r="150" spans="2:11" x14ac:dyDescent="0.25">
      <c r="B150">
        <v>1487</v>
      </c>
      <c r="H150">
        <f t="shared" si="15"/>
        <v>0</v>
      </c>
      <c r="I150" s="9" t="str" cm="1">
        <f t="array" ref="I150">_xlfn.LET(_xlpm.total,SUM(D150:G150),_xlpm.maxv,MAX(D150:G150),IF(_xlpm.total=0,"",IF(_xlpm.maxv/_xlpm.total&lt;0.5,"Mixed-Class",_xlfn.IFS(_xlpm.maxv=D150,"Assault",_xlpm.maxv=E150,"Engineer",_xlpm.maxv=F150,"Recon",_xlpm.maxv=G150,"Support"))))</f>
        <v/>
      </c>
      <c r="J150" t="str">
        <f t="shared" si="16"/>
        <v/>
      </c>
      <c r="K150" s="10" t="str">
        <f t="shared" si="17"/>
        <v/>
      </c>
    </row>
    <row r="151" spans="2:11" x14ac:dyDescent="0.25">
      <c r="B151">
        <v>1497</v>
      </c>
      <c r="H151">
        <f t="shared" si="15"/>
        <v>0</v>
      </c>
      <c r="I151" s="9" t="str" cm="1">
        <f t="array" ref="I151">_xlfn.LET(_xlpm.total,SUM(D151:G151),_xlpm.maxv,MAX(D151:G151),IF(_xlpm.total=0,"",IF(_xlpm.maxv/_xlpm.total&lt;0.5,"Mixed-Class",_xlfn.IFS(_xlpm.maxv=D151,"Assault",_xlpm.maxv=E151,"Engineer",_xlpm.maxv=F151,"Recon",_xlpm.maxv=G151,"Support"))))</f>
        <v/>
      </c>
      <c r="J151" t="str">
        <f t="shared" si="16"/>
        <v/>
      </c>
      <c r="K151" s="10" t="str">
        <f t="shared" si="17"/>
        <v/>
      </c>
    </row>
    <row r="152" spans="2:11" x14ac:dyDescent="0.25">
      <c r="B152">
        <v>1507</v>
      </c>
      <c r="H152">
        <f t="shared" si="15"/>
        <v>0</v>
      </c>
      <c r="I152" s="9" t="str" cm="1">
        <f t="array" ref="I152">_xlfn.LET(_xlpm.total,SUM(D152:G152),_xlpm.maxv,MAX(D152:G152),IF(_xlpm.total=0,"",IF(_xlpm.maxv/_xlpm.total&lt;0.5,"Mixed-Class",_xlfn.IFS(_xlpm.maxv=D152,"Assault",_xlpm.maxv=E152,"Engineer",_xlpm.maxv=F152,"Recon",_xlpm.maxv=G152,"Support"))))</f>
        <v/>
      </c>
      <c r="J152" t="str">
        <f t="shared" si="16"/>
        <v/>
      </c>
      <c r="K152" s="10" t="str">
        <f t="shared" si="17"/>
        <v/>
      </c>
    </row>
    <row r="153" spans="2:11" x14ac:dyDescent="0.25">
      <c r="B153">
        <v>1517</v>
      </c>
      <c r="H153">
        <f t="shared" si="15"/>
        <v>0</v>
      </c>
      <c r="I153" s="9" t="str" cm="1">
        <f t="array" ref="I153">_xlfn.LET(_xlpm.total,SUM(D153:G153),_xlpm.maxv,MAX(D153:G153),IF(_xlpm.total=0,"",IF(_xlpm.maxv/_xlpm.total&lt;0.5,"Mixed-Class",_xlfn.IFS(_xlpm.maxv=D153,"Assault",_xlpm.maxv=E153,"Engineer",_xlpm.maxv=F153,"Recon",_xlpm.maxv=G153,"Support"))))</f>
        <v/>
      </c>
      <c r="J153" t="str">
        <f t="shared" si="16"/>
        <v/>
      </c>
      <c r="K153" s="10" t="str">
        <f t="shared" si="17"/>
        <v/>
      </c>
    </row>
    <row r="154" spans="2:11" x14ac:dyDescent="0.25">
      <c r="B154">
        <v>1527</v>
      </c>
      <c r="H154">
        <f t="shared" si="15"/>
        <v>0</v>
      </c>
      <c r="I154" s="9" t="str" cm="1">
        <f t="array" ref="I154">_xlfn.LET(_xlpm.total,SUM(D154:G154),_xlpm.maxv,MAX(D154:G154),IF(_xlpm.total=0,"",IF(_xlpm.maxv/_xlpm.total&lt;0.5,"Mixed-Class",_xlfn.IFS(_xlpm.maxv=D154,"Assault",_xlpm.maxv=E154,"Engineer",_xlpm.maxv=F154,"Recon",_xlpm.maxv=G154,"Support"))))</f>
        <v/>
      </c>
      <c r="J154" t="str">
        <f t="shared" si="16"/>
        <v/>
      </c>
      <c r="K154" s="10" t="str">
        <f t="shared" si="17"/>
        <v/>
      </c>
    </row>
    <row r="155" spans="2:11" x14ac:dyDescent="0.25">
      <c r="B155">
        <v>1537</v>
      </c>
      <c r="H155">
        <f t="shared" si="15"/>
        <v>0</v>
      </c>
      <c r="I155" s="9" t="str" cm="1">
        <f t="array" ref="I155">_xlfn.LET(_xlpm.total,SUM(D155:G155),_xlpm.maxv,MAX(D155:G155),IF(_xlpm.total=0,"",IF(_xlpm.maxv/_xlpm.total&lt;0.5,"Mixed-Class",_xlfn.IFS(_xlpm.maxv=D155,"Assault",_xlpm.maxv=E155,"Engineer",_xlpm.maxv=F155,"Recon",_xlpm.maxv=G155,"Support"))))</f>
        <v/>
      </c>
      <c r="J155" t="str">
        <f t="shared" si="16"/>
        <v/>
      </c>
      <c r="K155" s="10" t="str">
        <f t="shared" si="17"/>
        <v/>
      </c>
    </row>
    <row r="156" spans="2:11" x14ac:dyDescent="0.25">
      <c r="B156">
        <v>1547</v>
      </c>
      <c r="H156">
        <f t="shared" si="15"/>
        <v>0</v>
      </c>
      <c r="I156" s="9" t="str" cm="1">
        <f t="array" ref="I156">_xlfn.LET(_xlpm.total,SUM(D156:G156),_xlpm.maxv,MAX(D156:G156),IF(_xlpm.total=0,"",IF(_xlpm.maxv/_xlpm.total&lt;0.5,"Mixed-Class",_xlfn.IFS(_xlpm.maxv=D156,"Assault",_xlpm.maxv=E156,"Engineer",_xlpm.maxv=F156,"Recon",_xlpm.maxv=G156,"Support"))))</f>
        <v/>
      </c>
      <c r="J156" t="str">
        <f t="shared" si="16"/>
        <v/>
      </c>
      <c r="K156" s="10" t="str">
        <f t="shared" si="17"/>
        <v/>
      </c>
    </row>
    <row r="157" spans="2:11" x14ac:dyDescent="0.25">
      <c r="B157">
        <v>1557</v>
      </c>
      <c r="H157">
        <f t="shared" si="15"/>
        <v>0</v>
      </c>
      <c r="I157" s="9" t="str" cm="1">
        <f t="array" ref="I157">_xlfn.LET(_xlpm.total,SUM(D157:G157),_xlpm.maxv,MAX(D157:G157),IF(_xlpm.total=0,"",IF(_xlpm.maxv/_xlpm.total&lt;0.5,"Mixed-Class",_xlfn.IFS(_xlpm.maxv=D157,"Assault",_xlpm.maxv=E157,"Engineer",_xlpm.maxv=F157,"Recon",_xlpm.maxv=G157,"Support"))))</f>
        <v/>
      </c>
      <c r="J157" t="str">
        <f t="shared" si="16"/>
        <v/>
      </c>
      <c r="K157" s="10" t="str">
        <f t="shared" si="17"/>
        <v/>
      </c>
    </row>
    <row r="158" spans="2:11" x14ac:dyDescent="0.25">
      <c r="B158">
        <v>1567</v>
      </c>
      <c r="H158">
        <f t="shared" si="15"/>
        <v>0</v>
      </c>
      <c r="I158" s="9" t="str" cm="1">
        <f t="array" ref="I158">_xlfn.LET(_xlpm.total,SUM(D158:G158),_xlpm.maxv,MAX(D158:G158),IF(_xlpm.total=0,"",IF(_xlpm.maxv/_xlpm.total&lt;0.5,"Mixed-Class",_xlfn.IFS(_xlpm.maxv=D158,"Assault",_xlpm.maxv=E158,"Engineer",_xlpm.maxv=F158,"Recon",_xlpm.maxv=G158,"Support"))))</f>
        <v/>
      </c>
      <c r="J158" t="str">
        <f t="shared" si="16"/>
        <v/>
      </c>
      <c r="K158" s="10" t="str">
        <f t="shared" si="17"/>
        <v/>
      </c>
    </row>
    <row r="159" spans="2:11" x14ac:dyDescent="0.25">
      <c r="B159">
        <v>1577</v>
      </c>
      <c r="H159">
        <f t="shared" si="15"/>
        <v>0</v>
      </c>
      <c r="I159" s="9" t="str" cm="1">
        <f t="array" ref="I159">_xlfn.LET(_xlpm.total,SUM(D159:G159),_xlpm.maxv,MAX(D159:G159),IF(_xlpm.total=0,"",IF(_xlpm.maxv/_xlpm.total&lt;0.5,"Mixed-Class",_xlfn.IFS(_xlpm.maxv=D159,"Assault",_xlpm.maxv=E159,"Engineer",_xlpm.maxv=F159,"Recon",_xlpm.maxv=G159,"Support"))))</f>
        <v/>
      </c>
      <c r="J159" t="str">
        <f t="shared" si="16"/>
        <v/>
      </c>
      <c r="K159" s="10" t="str">
        <f t="shared" si="17"/>
        <v/>
      </c>
    </row>
    <row r="160" spans="2:11" x14ac:dyDescent="0.25">
      <c r="B160">
        <v>1587</v>
      </c>
      <c r="H160">
        <f t="shared" si="15"/>
        <v>0</v>
      </c>
      <c r="I160" s="9" t="str" cm="1">
        <f t="array" ref="I160">_xlfn.LET(_xlpm.total,SUM(D160:G160),_xlpm.maxv,MAX(D160:G160),IF(_xlpm.total=0,"",IF(_xlpm.maxv/_xlpm.total&lt;0.5,"Mixed-Class",_xlfn.IFS(_xlpm.maxv=D160,"Assault",_xlpm.maxv=E160,"Engineer",_xlpm.maxv=F160,"Recon",_xlpm.maxv=G160,"Support"))))</f>
        <v/>
      </c>
      <c r="J160" t="str">
        <f t="shared" si="16"/>
        <v/>
      </c>
      <c r="K160" s="10" t="str">
        <f t="shared" si="17"/>
        <v/>
      </c>
    </row>
    <row r="161" spans="2:11" x14ac:dyDescent="0.25">
      <c r="B161">
        <v>1597</v>
      </c>
      <c r="H161">
        <f t="shared" si="15"/>
        <v>0</v>
      </c>
      <c r="I161" s="9" t="str" cm="1">
        <f t="array" ref="I161">_xlfn.LET(_xlpm.total,SUM(D161:G161),_xlpm.maxv,MAX(D161:G161),IF(_xlpm.total=0,"",IF(_xlpm.maxv/_xlpm.total&lt;0.5,"Mixed-Class",_xlfn.IFS(_xlpm.maxv=D161,"Assault",_xlpm.maxv=E161,"Engineer",_xlpm.maxv=F161,"Recon",_xlpm.maxv=G161,"Support"))))</f>
        <v/>
      </c>
      <c r="J161" t="str">
        <f t="shared" si="16"/>
        <v/>
      </c>
      <c r="K161" s="10" t="str">
        <f t="shared" si="17"/>
        <v/>
      </c>
    </row>
    <row r="162" spans="2:11" x14ac:dyDescent="0.25">
      <c r="B162">
        <v>1607</v>
      </c>
      <c r="H162">
        <f t="shared" si="15"/>
        <v>0</v>
      </c>
      <c r="I162" s="9" t="str" cm="1">
        <f t="array" ref="I162">_xlfn.LET(_xlpm.total,SUM(D162:G162),_xlpm.maxv,MAX(D162:G162),IF(_xlpm.total=0,"",IF(_xlpm.maxv/_xlpm.total&lt;0.5,"Mixed-Class",_xlfn.IFS(_xlpm.maxv=D162,"Assault",_xlpm.maxv=E162,"Engineer",_xlpm.maxv=F162,"Recon",_xlpm.maxv=G162,"Support"))))</f>
        <v/>
      </c>
      <c r="J162" t="str">
        <f t="shared" si="16"/>
        <v/>
      </c>
      <c r="K162" s="10" t="str">
        <f t="shared" si="17"/>
        <v/>
      </c>
    </row>
    <row r="163" spans="2:11" x14ac:dyDescent="0.25">
      <c r="B163">
        <v>1617</v>
      </c>
      <c r="H163">
        <f t="shared" si="15"/>
        <v>0</v>
      </c>
      <c r="I163" s="9" t="str" cm="1">
        <f t="array" ref="I163">_xlfn.LET(_xlpm.total,SUM(D163:G163),_xlpm.maxv,MAX(D163:G163),IF(_xlpm.total=0,"",IF(_xlpm.maxv/_xlpm.total&lt;0.5,"Mixed-Class",_xlfn.IFS(_xlpm.maxv=D163,"Assault",_xlpm.maxv=E163,"Engineer",_xlpm.maxv=F163,"Recon",_xlpm.maxv=G163,"Support"))))</f>
        <v/>
      </c>
      <c r="J163" t="str">
        <f t="shared" si="16"/>
        <v/>
      </c>
      <c r="K163" s="10" t="str">
        <f t="shared" si="17"/>
        <v/>
      </c>
    </row>
    <row r="164" spans="2:11" x14ac:dyDescent="0.25">
      <c r="B164">
        <v>1627</v>
      </c>
      <c r="H164">
        <f t="shared" si="15"/>
        <v>0</v>
      </c>
      <c r="I164" s="9" t="str" cm="1">
        <f t="array" ref="I164">_xlfn.LET(_xlpm.total,SUM(D164:G164),_xlpm.maxv,MAX(D164:G164),IF(_xlpm.total=0,"",IF(_xlpm.maxv/_xlpm.total&lt;0.5,"Mixed-Class",_xlfn.IFS(_xlpm.maxv=D164,"Assault",_xlpm.maxv=E164,"Engineer",_xlpm.maxv=F164,"Recon",_xlpm.maxv=G164,"Support"))))</f>
        <v/>
      </c>
      <c r="J164" t="str">
        <f t="shared" si="16"/>
        <v/>
      </c>
      <c r="K164" s="10" t="str">
        <f t="shared" si="17"/>
        <v/>
      </c>
    </row>
    <row r="165" spans="2:11" x14ac:dyDescent="0.25">
      <c r="B165">
        <v>1637</v>
      </c>
      <c r="H165">
        <f t="shared" si="15"/>
        <v>0</v>
      </c>
      <c r="I165" s="9" t="str" cm="1">
        <f t="array" ref="I165">_xlfn.LET(_xlpm.total,SUM(D165:G165),_xlpm.maxv,MAX(D165:G165),IF(_xlpm.total=0,"",IF(_xlpm.maxv/_xlpm.total&lt;0.5,"Mixed-Class",_xlfn.IFS(_xlpm.maxv=D165,"Assault",_xlpm.maxv=E165,"Engineer",_xlpm.maxv=F165,"Recon",_xlpm.maxv=G165,"Support"))))</f>
        <v/>
      </c>
      <c r="J165" t="str">
        <f t="shared" si="16"/>
        <v/>
      </c>
      <c r="K165" s="10" t="str">
        <f t="shared" si="17"/>
        <v/>
      </c>
    </row>
    <row r="166" spans="2:11" x14ac:dyDescent="0.25">
      <c r="B166">
        <v>1647</v>
      </c>
      <c r="H166">
        <f t="shared" si="15"/>
        <v>0</v>
      </c>
      <c r="I166" s="9" t="str" cm="1">
        <f t="array" ref="I166">_xlfn.LET(_xlpm.total,SUM(D166:G166),_xlpm.maxv,MAX(D166:G166),IF(_xlpm.total=0,"",IF(_xlpm.maxv/_xlpm.total&lt;0.5,"Mixed-Class",_xlfn.IFS(_xlpm.maxv=D166,"Assault",_xlpm.maxv=E166,"Engineer",_xlpm.maxv=F166,"Recon",_xlpm.maxv=G166,"Support"))))</f>
        <v/>
      </c>
      <c r="J166" t="str">
        <f t="shared" si="16"/>
        <v/>
      </c>
      <c r="K166" s="10" t="str">
        <f t="shared" si="17"/>
        <v/>
      </c>
    </row>
    <row r="167" spans="2:11" x14ac:dyDescent="0.25">
      <c r="B167">
        <v>1657</v>
      </c>
      <c r="H167">
        <f t="shared" si="15"/>
        <v>0</v>
      </c>
      <c r="I167" s="9" t="str" cm="1">
        <f t="array" ref="I167">_xlfn.LET(_xlpm.total,SUM(D167:G167),_xlpm.maxv,MAX(D167:G167),IF(_xlpm.total=0,"",IF(_xlpm.maxv/_xlpm.total&lt;0.5,"Mixed-Class",_xlfn.IFS(_xlpm.maxv=D167,"Assault",_xlpm.maxv=E167,"Engineer",_xlpm.maxv=F167,"Recon",_xlpm.maxv=G167,"Support"))))</f>
        <v/>
      </c>
      <c r="J167" t="str">
        <f t="shared" si="16"/>
        <v/>
      </c>
      <c r="K167" s="10" t="str">
        <f t="shared" si="17"/>
        <v/>
      </c>
    </row>
    <row r="168" spans="2:11" x14ac:dyDescent="0.25">
      <c r="B168">
        <v>1667</v>
      </c>
      <c r="H168">
        <f t="shared" si="15"/>
        <v>0</v>
      </c>
      <c r="I168" s="9" t="str" cm="1">
        <f t="array" ref="I168">_xlfn.LET(_xlpm.total,SUM(D168:G168),_xlpm.maxv,MAX(D168:G168),IF(_xlpm.total=0,"",IF(_xlpm.maxv/_xlpm.total&lt;0.5,"Mixed-Class",_xlfn.IFS(_xlpm.maxv=D168,"Assault",_xlpm.maxv=E168,"Engineer",_xlpm.maxv=F168,"Recon",_xlpm.maxv=G168,"Support"))))</f>
        <v/>
      </c>
      <c r="J168" t="str">
        <f t="shared" si="16"/>
        <v/>
      </c>
      <c r="K168" s="10" t="str">
        <f t="shared" si="17"/>
        <v/>
      </c>
    </row>
    <row r="169" spans="2:11" x14ac:dyDescent="0.25">
      <c r="B169">
        <v>1677</v>
      </c>
      <c r="H169">
        <f t="shared" si="15"/>
        <v>0</v>
      </c>
      <c r="I169" s="9" t="str" cm="1">
        <f t="array" ref="I169">_xlfn.LET(_xlpm.total,SUM(D169:G169),_xlpm.maxv,MAX(D169:G169),IF(_xlpm.total=0,"",IF(_xlpm.maxv/_xlpm.total&lt;0.5,"Mixed-Class",_xlfn.IFS(_xlpm.maxv=D169,"Assault",_xlpm.maxv=E169,"Engineer",_xlpm.maxv=F169,"Recon",_xlpm.maxv=G169,"Support"))))</f>
        <v/>
      </c>
      <c r="J169" t="str">
        <f t="shared" si="16"/>
        <v/>
      </c>
      <c r="K169" s="10" t="str">
        <f t="shared" si="17"/>
        <v/>
      </c>
    </row>
    <row r="170" spans="2:11" x14ac:dyDescent="0.25">
      <c r="B170">
        <v>1687</v>
      </c>
      <c r="H170">
        <f t="shared" si="15"/>
        <v>0</v>
      </c>
      <c r="I170" s="9" t="str" cm="1">
        <f t="array" ref="I170">_xlfn.LET(_xlpm.total,SUM(D170:G170),_xlpm.maxv,MAX(D170:G170),IF(_xlpm.total=0,"",IF(_xlpm.maxv/_xlpm.total&lt;0.5,"Mixed-Class",_xlfn.IFS(_xlpm.maxv=D170,"Assault",_xlpm.maxv=E170,"Engineer",_xlpm.maxv=F170,"Recon",_xlpm.maxv=G170,"Support"))))</f>
        <v/>
      </c>
      <c r="J170" t="str">
        <f t="shared" si="16"/>
        <v/>
      </c>
      <c r="K170" s="10" t="str">
        <f t="shared" si="17"/>
        <v/>
      </c>
    </row>
    <row r="171" spans="2:11" x14ac:dyDescent="0.25">
      <c r="B171">
        <v>1697</v>
      </c>
      <c r="H171">
        <f t="shared" si="15"/>
        <v>0</v>
      </c>
      <c r="I171" s="9" t="str" cm="1">
        <f t="array" ref="I171">_xlfn.LET(_xlpm.total,SUM(D171:G171),_xlpm.maxv,MAX(D171:G171),IF(_xlpm.total=0,"",IF(_xlpm.maxv/_xlpm.total&lt;0.5,"Mixed-Class",_xlfn.IFS(_xlpm.maxv=D171,"Assault",_xlpm.maxv=E171,"Engineer",_xlpm.maxv=F171,"Recon",_xlpm.maxv=G171,"Support"))))</f>
        <v/>
      </c>
      <c r="J171" t="str">
        <f t="shared" si="16"/>
        <v/>
      </c>
      <c r="K171" s="10" t="str">
        <f t="shared" si="17"/>
        <v/>
      </c>
    </row>
    <row r="172" spans="2:11" x14ac:dyDescent="0.25">
      <c r="B172">
        <v>1707</v>
      </c>
      <c r="H172">
        <f t="shared" si="15"/>
        <v>0</v>
      </c>
      <c r="I172" s="9" t="str" cm="1">
        <f t="array" ref="I172">_xlfn.LET(_xlpm.total,SUM(D172:G172),_xlpm.maxv,MAX(D172:G172),IF(_xlpm.total=0,"",IF(_xlpm.maxv/_xlpm.total&lt;0.5,"Mixed-Class",_xlfn.IFS(_xlpm.maxv=D172,"Assault",_xlpm.maxv=E172,"Engineer",_xlpm.maxv=F172,"Recon",_xlpm.maxv=G172,"Support"))))</f>
        <v/>
      </c>
      <c r="J172" t="str">
        <f t="shared" si="16"/>
        <v/>
      </c>
      <c r="K172" s="10" t="str">
        <f t="shared" si="17"/>
        <v/>
      </c>
    </row>
    <row r="173" spans="2:11" x14ac:dyDescent="0.25">
      <c r="B173">
        <v>1717</v>
      </c>
      <c r="H173">
        <f t="shared" si="15"/>
        <v>0</v>
      </c>
      <c r="I173" s="9" t="str" cm="1">
        <f t="array" ref="I173">_xlfn.LET(_xlpm.total,SUM(D173:G173),_xlpm.maxv,MAX(D173:G173),IF(_xlpm.total=0,"",IF(_xlpm.maxv/_xlpm.total&lt;0.5,"Mixed-Class",_xlfn.IFS(_xlpm.maxv=D173,"Assault",_xlpm.maxv=E173,"Engineer",_xlpm.maxv=F173,"Recon",_xlpm.maxv=G173,"Support"))))</f>
        <v/>
      </c>
      <c r="J173" t="str">
        <f t="shared" si="16"/>
        <v/>
      </c>
      <c r="K173" s="10" t="str">
        <f t="shared" si="17"/>
        <v/>
      </c>
    </row>
    <row r="174" spans="2:11" x14ac:dyDescent="0.25">
      <c r="B174">
        <v>1727</v>
      </c>
      <c r="H174">
        <f t="shared" si="15"/>
        <v>0</v>
      </c>
      <c r="I174" s="9" t="str" cm="1">
        <f t="array" ref="I174">_xlfn.LET(_xlpm.total,SUM(D174:G174),_xlpm.maxv,MAX(D174:G174),IF(_xlpm.total=0,"",IF(_xlpm.maxv/_xlpm.total&lt;0.5,"Mixed-Class",_xlfn.IFS(_xlpm.maxv=D174,"Assault",_xlpm.maxv=E174,"Engineer",_xlpm.maxv=F174,"Recon",_xlpm.maxv=G174,"Support"))))</f>
        <v/>
      </c>
      <c r="J174" t="str">
        <f t="shared" si="16"/>
        <v/>
      </c>
      <c r="K174" s="10" t="str">
        <f t="shared" si="17"/>
        <v/>
      </c>
    </row>
    <row r="175" spans="2:11" x14ac:dyDescent="0.25">
      <c r="B175">
        <v>1737</v>
      </c>
      <c r="H175">
        <f t="shared" si="15"/>
        <v>0</v>
      </c>
      <c r="I175" s="9" t="str" cm="1">
        <f t="array" ref="I175">_xlfn.LET(_xlpm.total,SUM(D175:G175),_xlpm.maxv,MAX(D175:G175),IF(_xlpm.total=0,"",IF(_xlpm.maxv/_xlpm.total&lt;0.5,"Mixed-Class",_xlfn.IFS(_xlpm.maxv=D175,"Assault",_xlpm.maxv=E175,"Engineer",_xlpm.maxv=F175,"Recon",_xlpm.maxv=G175,"Support"))))</f>
        <v/>
      </c>
      <c r="J175" t="str">
        <f t="shared" si="16"/>
        <v/>
      </c>
      <c r="K175" s="10" t="str">
        <f t="shared" si="17"/>
        <v/>
      </c>
    </row>
    <row r="176" spans="2:11" x14ac:dyDescent="0.25">
      <c r="B176">
        <v>1747</v>
      </c>
      <c r="H176">
        <f t="shared" si="15"/>
        <v>0</v>
      </c>
      <c r="I176" s="9" t="str" cm="1">
        <f t="array" ref="I176">_xlfn.LET(_xlpm.total,SUM(D176:G176),_xlpm.maxv,MAX(D176:G176),IF(_xlpm.total=0,"",IF(_xlpm.maxv/_xlpm.total&lt;0.5,"Mixed-Class",_xlfn.IFS(_xlpm.maxv=D176,"Assault",_xlpm.maxv=E176,"Engineer",_xlpm.maxv=F176,"Recon",_xlpm.maxv=G176,"Support"))))</f>
        <v/>
      </c>
      <c r="J176" t="str">
        <f t="shared" si="16"/>
        <v/>
      </c>
      <c r="K176" s="10" t="str">
        <f t="shared" si="17"/>
        <v/>
      </c>
    </row>
    <row r="177" spans="2:11" x14ac:dyDescent="0.25">
      <c r="B177">
        <v>1757</v>
      </c>
      <c r="H177">
        <f t="shared" si="15"/>
        <v>0</v>
      </c>
      <c r="I177" s="9" t="str" cm="1">
        <f t="array" ref="I177">_xlfn.LET(_xlpm.total,SUM(D177:G177),_xlpm.maxv,MAX(D177:G177),IF(_xlpm.total=0,"",IF(_xlpm.maxv/_xlpm.total&lt;0.5,"Mixed-Class",_xlfn.IFS(_xlpm.maxv=D177,"Assault",_xlpm.maxv=E177,"Engineer",_xlpm.maxv=F177,"Recon",_xlpm.maxv=G177,"Support"))))</f>
        <v/>
      </c>
      <c r="J177" t="str">
        <f t="shared" si="16"/>
        <v/>
      </c>
      <c r="K177" s="10" t="str">
        <f t="shared" si="17"/>
        <v/>
      </c>
    </row>
    <row r="178" spans="2:11" x14ac:dyDescent="0.25">
      <c r="B178">
        <v>1767</v>
      </c>
      <c r="H178">
        <f t="shared" si="15"/>
        <v>0</v>
      </c>
      <c r="I178" s="9" t="str" cm="1">
        <f t="array" ref="I178">_xlfn.LET(_xlpm.total,SUM(D178:G178),_xlpm.maxv,MAX(D178:G178),IF(_xlpm.total=0,"",IF(_xlpm.maxv/_xlpm.total&lt;0.5,"Mixed-Class",_xlfn.IFS(_xlpm.maxv=D178,"Assault",_xlpm.maxv=E178,"Engineer",_xlpm.maxv=F178,"Recon",_xlpm.maxv=G178,"Support"))))</f>
        <v/>
      </c>
      <c r="J178" t="str">
        <f t="shared" si="16"/>
        <v/>
      </c>
      <c r="K178" s="10" t="str">
        <f t="shared" si="17"/>
        <v/>
      </c>
    </row>
    <row r="179" spans="2:11" x14ac:dyDescent="0.25">
      <c r="B179">
        <v>1777</v>
      </c>
      <c r="H179">
        <f t="shared" si="15"/>
        <v>0</v>
      </c>
      <c r="I179" s="9" t="str" cm="1">
        <f t="array" ref="I179">_xlfn.LET(_xlpm.total,SUM(D179:G179),_xlpm.maxv,MAX(D179:G179),IF(_xlpm.total=0,"",IF(_xlpm.maxv/_xlpm.total&lt;0.5,"Mixed-Class",_xlfn.IFS(_xlpm.maxv=D179,"Assault",_xlpm.maxv=E179,"Engineer",_xlpm.maxv=F179,"Recon",_xlpm.maxv=G179,"Support"))))</f>
        <v/>
      </c>
      <c r="J179" t="str">
        <f t="shared" si="16"/>
        <v/>
      </c>
      <c r="K179" s="10" t="str">
        <f t="shared" si="17"/>
        <v/>
      </c>
    </row>
    <row r="180" spans="2:11" x14ac:dyDescent="0.25">
      <c r="B180">
        <v>1787</v>
      </c>
      <c r="H180">
        <f t="shared" si="15"/>
        <v>0</v>
      </c>
      <c r="I180" s="9" t="str" cm="1">
        <f t="array" ref="I180">_xlfn.LET(_xlpm.total,SUM(D180:G180),_xlpm.maxv,MAX(D180:G180),IF(_xlpm.total=0,"",IF(_xlpm.maxv/_xlpm.total&lt;0.5,"Mixed-Class",_xlfn.IFS(_xlpm.maxv=D180,"Assault",_xlpm.maxv=E180,"Engineer",_xlpm.maxv=F180,"Recon",_xlpm.maxv=G180,"Support"))))</f>
        <v/>
      </c>
      <c r="J180" t="str">
        <f t="shared" si="16"/>
        <v/>
      </c>
      <c r="K180" s="10" t="str">
        <f t="shared" si="17"/>
        <v/>
      </c>
    </row>
    <row r="181" spans="2:11" x14ac:dyDescent="0.25">
      <c r="B181">
        <v>1797</v>
      </c>
      <c r="H181">
        <f t="shared" si="15"/>
        <v>0</v>
      </c>
      <c r="I181" s="9" t="str" cm="1">
        <f t="array" ref="I181">_xlfn.LET(_xlpm.total,SUM(D181:G181),_xlpm.maxv,MAX(D181:G181),IF(_xlpm.total=0,"",IF(_xlpm.maxv/_xlpm.total&lt;0.5,"Mixed-Class",_xlfn.IFS(_xlpm.maxv=D181,"Assault",_xlpm.maxv=E181,"Engineer",_xlpm.maxv=F181,"Recon",_xlpm.maxv=G181,"Support"))))</f>
        <v/>
      </c>
      <c r="J181" t="str">
        <f t="shared" si="16"/>
        <v/>
      </c>
      <c r="K181" s="10" t="str">
        <f t="shared" si="17"/>
        <v/>
      </c>
    </row>
    <row r="182" spans="2:11" x14ac:dyDescent="0.25">
      <c r="B182">
        <v>1807</v>
      </c>
      <c r="H182">
        <f t="shared" si="15"/>
        <v>0</v>
      </c>
      <c r="I182" s="9" t="str" cm="1">
        <f t="array" ref="I182">_xlfn.LET(_xlpm.total,SUM(D182:G182),_xlpm.maxv,MAX(D182:G182),IF(_xlpm.total=0,"",IF(_xlpm.maxv/_xlpm.total&lt;0.5,"Mixed-Class",_xlfn.IFS(_xlpm.maxv=D182,"Assault",_xlpm.maxv=E182,"Engineer",_xlpm.maxv=F182,"Recon",_xlpm.maxv=G182,"Support"))))</f>
        <v/>
      </c>
      <c r="J182" t="str">
        <f t="shared" si="16"/>
        <v/>
      </c>
      <c r="K182" s="10" t="str">
        <f t="shared" si="17"/>
        <v/>
      </c>
    </row>
    <row r="183" spans="2:11" x14ac:dyDescent="0.25">
      <c r="B183">
        <v>1817</v>
      </c>
      <c r="H183">
        <f t="shared" si="15"/>
        <v>0</v>
      </c>
      <c r="I183" s="9" t="str" cm="1">
        <f t="array" ref="I183">_xlfn.LET(_xlpm.total,SUM(D183:G183),_xlpm.maxv,MAX(D183:G183),IF(_xlpm.total=0,"",IF(_xlpm.maxv/_xlpm.total&lt;0.5,"Mixed-Class",_xlfn.IFS(_xlpm.maxv=D183,"Assault",_xlpm.maxv=E183,"Engineer",_xlpm.maxv=F183,"Recon",_xlpm.maxv=G183,"Support"))))</f>
        <v/>
      </c>
      <c r="J183" t="str">
        <f t="shared" si="16"/>
        <v/>
      </c>
      <c r="K183" s="10" t="str">
        <f t="shared" si="17"/>
        <v/>
      </c>
    </row>
    <row r="184" spans="2:11" x14ac:dyDescent="0.25">
      <c r="B184">
        <v>1827</v>
      </c>
      <c r="H184">
        <f t="shared" si="15"/>
        <v>0</v>
      </c>
      <c r="I184" s="9" t="str" cm="1">
        <f t="array" ref="I184">_xlfn.LET(_xlpm.total,SUM(D184:G184),_xlpm.maxv,MAX(D184:G184),IF(_xlpm.total=0,"",IF(_xlpm.maxv/_xlpm.total&lt;0.5,"Mixed-Class",_xlfn.IFS(_xlpm.maxv=D184,"Assault",_xlpm.maxv=E184,"Engineer",_xlpm.maxv=F184,"Recon",_xlpm.maxv=G184,"Support"))))</f>
        <v/>
      </c>
      <c r="J184" t="str">
        <f t="shared" si="16"/>
        <v/>
      </c>
      <c r="K184" s="10" t="str">
        <f t="shared" si="17"/>
        <v/>
      </c>
    </row>
    <row r="185" spans="2:11" x14ac:dyDescent="0.25">
      <c r="B185">
        <v>1837</v>
      </c>
      <c r="H185">
        <f t="shared" si="15"/>
        <v>0</v>
      </c>
      <c r="I185" s="9" t="str" cm="1">
        <f t="array" ref="I185">_xlfn.LET(_xlpm.total,SUM(D185:G185),_xlpm.maxv,MAX(D185:G185),IF(_xlpm.total=0,"",IF(_xlpm.maxv/_xlpm.total&lt;0.5,"Mixed-Class",_xlfn.IFS(_xlpm.maxv=D185,"Assault",_xlpm.maxv=E185,"Engineer",_xlpm.maxv=F185,"Recon",_xlpm.maxv=G185,"Support"))))</f>
        <v/>
      </c>
      <c r="J185" t="str">
        <f t="shared" si="16"/>
        <v/>
      </c>
      <c r="K185" s="10" t="str">
        <f t="shared" si="17"/>
        <v/>
      </c>
    </row>
    <row r="186" spans="2:11" x14ac:dyDescent="0.25">
      <c r="B186">
        <v>1847</v>
      </c>
      <c r="H186">
        <f t="shared" si="15"/>
        <v>0</v>
      </c>
      <c r="I186" s="9" t="str" cm="1">
        <f t="array" ref="I186">_xlfn.LET(_xlpm.total,SUM(D186:G186),_xlpm.maxv,MAX(D186:G186),IF(_xlpm.total=0,"",IF(_xlpm.maxv/_xlpm.total&lt;0.5,"Mixed-Class",_xlfn.IFS(_xlpm.maxv=D186,"Assault",_xlpm.maxv=E186,"Engineer",_xlpm.maxv=F186,"Recon",_xlpm.maxv=G186,"Support"))))</f>
        <v/>
      </c>
      <c r="J186" t="str">
        <f t="shared" si="16"/>
        <v/>
      </c>
      <c r="K186" s="10" t="str">
        <f t="shared" si="17"/>
        <v/>
      </c>
    </row>
    <row r="187" spans="2:11" x14ac:dyDescent="0.25">
      <c r="B187">
        <v>1857</v>
      </c>
      <c r="H187">
        <f t="shared" si="15"/>
        <v>0</v>
      </c>
      <c r="I187" s="9" t="str" cm="1">
        <f t="array" ref="I187">_xlfn.LET(_xlpm.total,SUM(D187:G187),_xlpm.maxv,MAX(D187:G187),IF(_xlpm.total=0,"",IF(_xlpm.maxv/_xlpm.total&lt;0.5,"Mixed-Class",_xlfn.IFS(_xlpm.maxv=D187,"Assault",_xlpm.maxv=E187,"Engineer",_xlpm.maxv=F187,"Recon",_xlpm.maxv=G187,"Support"))))</f>
        <v/>
      </c>
      <c r="J187" t="str">
        <f t="shared" si="16"/>
        <v/>
      </c>
      <c r="K187" s="10" t="str">
        <f t="shared" si="17"/>
        <v/>
      </c>
    </row>
    <row r="188" spans="2:11" x14ac:dyDescent="0.25">
      <c r="B188">
        <v>1867</v>
      </c>
      <c r="H188">
        <f t="shared" si="15"/>
        <v>0</v>
      </c>
      <c r="I188" s="9" t="str" cm="1">
        <f t="array" ref="I188">_xlfn.LET(_xlpm.total,SUM(D188:G188),_xlpm.maxv,MAX(D188:G188),IF(_xlpm.total=0,"",IF(_xlpm.maxv/_xlpm.total&lt;0.5,"Mixed-Class",_xlfn.IFS(_xlpm.maxv=D188,"Assault",_xlpm.maxv=E188,"Engineer",_xlpm.maxv=F188,"Recon",_xlpm.maxv=G188,"Support"))))</f>
        <v/>
      </c>
      <c r="J188" t="str">
        <f t="shared" si="16"/>
        <v/>
      </c>
      <c r="K188" s="10" t="str">
        <f t="shared" si="17"/>
        <v/>
      </c>
    </row>
    <row r="189" spans="2:11" x14ac:dyDescent="0.25">
      <c r="B189">
        <v>1877</v>
      </c>
      <c r="H189">
        <f t="shared" si="15"/>
        <v>0</v>
      </c>
      <c r="I189" s="9" t="str" cm="1">
        <f t="array" ref="I189">_xlfn.LET(_xlpm.total,SUM(D189:G189),_xlpm.maxv,MAX(D189:G189),IF(_xlpm.total=0,"",IF(_xlpm.maxv/_xlpm.total&lt;0.5,"Mixed-Class",_xlfn.IFS(_xlpm.maxv=D189,"Assault",_xlpm.maxv=E189,"Engineer",_xlpm.maxv=F189,"Recon",_xlpm.maxv=G189,"Support"))))</f>
        <v/>
      </c>
      <c r="J189" t="str">
        <f t="shared" si="16"/>
        <v/>
      </c>
      <c r="K189" s="10" t="str">
        <f t="shared" si="17"/>
        <v/>
      </c>
    </row>
    <row r="190" spans="2:11" x14ac:dyDescent="0.25">
      <c r="B190">
        <v>1887</v>
      </c>
      <c r="H190">
        <f t="shared" si="15"/>
        <v>0</v>
      </c>
      <c r="I190" s="9" t="str" cm="1">
        <f t="array" ref="I190">_xlfn.LET(_xlpm.total,SUM(D190:G190),_xlpm.maxv,MAX(D190:G190),IF(_xlpm.total=0,"",IF(_xlpm.maxv/_xlpm.total&lt;0.5,"Mixed-Class",_xlfn.IFS(_xlpm.maxv=D190,"Assault",_xlpm.maxv=E190,"Engineer",_xlpm.maxv=F190,"Recon",_xlpm.maxv=G190,"Support"))))</f>
        <v/>
      </c>
      <c r="J190" t="str">
        <f t="shared" si="16"/>
        <v/>
      </c>
      <c r="K190" s="10" t="str">
        <f t="shared" si="17"/>
        <v/>
      </c>
    </row>
    <row r="191" spans="2:11" x14ac:dyDescent="0.25">
      <c r="B191">
        <v>1897</v>
      </c>
      <c r="H191">
        <f t="shared" si="15"/>
        <v>0</v>
      </c>
      <c r="I191" s="9" t="str" cm="1">
        <f t="array" ref="I191">_xlfn.LET(_xlpm.total,SUM(D191:G191),_xlpm.maxv,MAX(D191:G191),IF(_xlpm.total=0,"",IF(_xlpm.maxv/_xlpm.total&lt;0.5,"Mixed-Class",_xlfn.IFS(_xlpm.maxv=D191,"Assault",_xlpm.maxv=E191,"Engineer",_xlpm.maxv=F191,"Recon",_xlpm.maxv=G191,"Support"))))</f>
        <v/>
      </c>
      <c r="J191" t="str">
        <f t="shared" si="16"/>
        <v/>
      </c>
      <c r="K191" s="10" t="str">
        <f t="shared" si="17"/>
        <v/>
      </c>
    </row>
    <row r="192" spans="2:11" x14ac:dyDescent="0.25">
      <c r="B192">
        <v>1907</v>
      </c>
      <c r="H192">
        <f t="shared" si="15"/>
        <v>0</v>
      </c>
      <c r="I192" s="9" t="str" cm="1">
        <f t="array" ref="I192">_xlfn.LET(_xlpm.total,SUM(D192:G192),_xlpm.maxv,MAX(D192:G192),IF(_xlpm.total=0,"",IF(_xlpm.maxv/_xlpm.total&lt;0.5,"Mixed-Class",_xlfn.IFS(_xlpm.maxv=D192,"Assault",_xlpm.maxv=E192,"Engineer",_xlpm.maxv=F192,"Recon",_xlpm.maxv=G192,"Support"))))</f>
        <v/>
      </c>
      <c r="J192" t="str">
        <f t="shared" si="16"/>
        <v/>
      </c>
      <c r="K192" s="10" t="str">
        <f t="shared" si="17"/>
        <v/>
      </c>
    </row>
    <row r="193" spans="2:11" x14ac:dyDescent="0.25">
      <c r="B193">
        <v>1917</v>
      </c>
      <c r="H193">
        <f t="shared" si="15"/>
        <v>0</v>
      </c>
      <c r="I193" s="9" t="str" cm="1">
        <f t="array" ref="I193">_xlfn.LET(_xlpm.total,SUM(D193:G193),_xlpm.maxv,MAX(D193:G193),IF(_xlpm.total=0,"",IF(_xlpm.maxv/_xlpm.total&lt;0.5,"Mixed-Class",_xlfn.IFS(_xlpm.maxv=D193,"Assault",_xlpm.maxv=E193,"Engineer",_xlpm.maxv=F193,"Recon",_xlpm.maxv=G193,"Support"))))</f>
        <v/>
      </c>
      <c r="J193" t="str">
        <f t="shared" si="16"/>
        <v/>
      </c>
      <c r="K193" s="10" t="str">
        <f t="shared" si="17"/>
        <v/>
      </c>
    </row>
    <row r="194" spans="2:11" x14ac:dyDescent="0.25">
      <c r="B194">
        <v>1927</v>
      </c>
      <c r="H194">
        <f t="shared" si="15"/>
        <v>0</v>
      </c>
      <c r="I194" s="9" t="str" cm="1">
        <f t="array" ref="I194">_xlfn.LET(_xlpm.total,SUM(D194:G194),_xlpm.maxv,MAX(D194:G194),IF(_xlpm.total=0,"",IF(_xlpm.maxv/_xlpm.total&lt;0.5,"Mixed-Class",_xlfn.IFS(_xlpm.maxv=D194,"Assault",_xlpm.maxv=E194,"Engineer",_xlpm.maxv=F194,"Recon",_xlpm.maxv=G194,"Support"))))</f>
        <v/>
      </c>
      <c r="J194" t="str">
        <f t="shared" si="16"/>
        <v/>
      </c>
      <c r="K194" s="10" t="str">
        <f t="shared" si="17"/>
        <v/>
      </c>
    </row>
    <row r="195" spans="2:11" x14ac:dyDescent="0.25">
      <c r="B195">
        <v>1937</v>
      </c>
      <c r="H195">
        <f t="shared" ref="H195:H258" si="18">SUM(D195:G195)</f>
        <v>0</v>
      </c>
      <c r="I195" s="9" t="str" cm="1">
        <f t="array" ref="I195">_xlfn.LET(_xlpm.total,SUM(D195:G195),_xlpm.maxv,MAX(D195:G195),IF(_xlpm.total=0,"",IF(_xlpm.maxv/_xlpm.total&lt;0.5,"Mixed-Class",_xlfn.IFS(_xlpm.maxv=D195,"Assault",_xlpm.maxv=E195,"Engineer",_xlpm.maxv=F195,"Recon",_xlpm.maxv=G195,"Support"))))</f>
        <v/>
      </c>
      <c r="J195" t="str">
        <f t="shared" ref="J195:J258" si="19">_xlfn.LET(_xlpm.total,SUM(D195:G195),IF(_xlpm.total=0,"",MAX(D195:G195)/_xlpm.total&gt;=0.5))</f>
        <v/>
      </c>
      <c r="K195" s="10" t="str">
        <f t="shared" ref="K195:K258" si="20">_xlfn.LET(_xlpm.total,SUM(D195:G195),IF(_xlpm.total=0,"",MAX(D195:G195)/_xlpm.total))</f>
        <v/>
      </c>
    </row>
    <row r="196" spans="2:11" x14ac:dyDescent="0.25">
      <c r="B196">
        <v>1947</v>
      </c>
      <c r="H196">
        <f t="shared" si="18"/>
        <v>0</v>
      </c>
      <c r="I196" s="9" t="str" cm="1">
        <f t="array" ref="I196">_xlfn.LET(_xlpm.total,SUM(D196:G196),_xlpm.maxv,MAX(D196:G196),IF(_xlpm.total=0,"",IF(_xlpm.maxv/_xlpm.total&lt;0.5,"Mixed-Class",_xlfn.IFS(_xlpm.maxv=D196,"Assault",_xlpm.maxv=E196,"Engineer",_xlpm.maxv=F196,"Recon",_xlpm.maxv=G196,"Support"))))</f>
        <v/>
      </c>
      <c r="J196" t="str">
        <f t="shared" si="19"/>
        <v/>
      </c>
      <c r="K196" s="10" t="str">
        <f t="shared" si="20"/>
        <v/>
      </c>
    </row>
    <row r="197" spans="2:11" x14ac:dyDescent="0.25">
      <c r="B197">
        <v>1957</v>
      </c>
      <c r="H197">
        <f t="shared" si="18"/>
        <v>0</v>
      </c>
      <c r="I197" s="9" t="str" cm="1">
        <f t="array" ref="I197">_xlfn.LET(_xlpm.total,SUM(D197:G197),_xlpm.maxv,MAX(D197:G197),IF(_xlpm.total=0,"",IF(_xlpm.maxv/_xlpm.total&lt;0.5,"Mixed-Class",_xlfn.IFS(_xlpm.maxv=D197,"Assault",_xlpm.maxv=E197,"Engineer",_xlpm.maxv=F197,"Recon",_xlpm.maxv=G197,"Support"))))</f>
        <v/>
      </c>
      <c r="J197" t="str">
        <f t="shared" si="19"/>
        <v/>
      </c>
      <c r="K197" s="10" t="str">
        <f t="shared" si="20"/>
        <v/>
      </c>
    </row>
    <row r="198" spans="2:11" x14ac:dyDescent="0.25">
      <c r="B198">
        <v>1967</v>
      </c>
      <c r="H198">
        <f t="shared" si="18"/>
        <v>0</v>
      </c>
      <c r="I198" s="9" t="str" cm="1">
        <f t="array" ref="I198">_xlfn.LET(_xlpm.total,SUM(D198:G198),_xlpm.maxv,MAX(D198:G198),IF(_xlpm.total=0,"",IF(_xlpm.maxv/_xlpm.total&lt;0.5,"Mixed-Class",_xlfn.IFS(_xlpm.maxv=D198,"Assault",_xlpm.maxv=E198,"Engineer",_xlpm.maxv=F198,"Recon",_xlpm.maxv=G198,"Support"))))</f>
        <v/>
      </c>
      <c r="J198" t="str">
        <f t="shared" si="19"/>
        <v/>
      </c>
      <c r="K198" s="10" t="str">
        <f t="shared" si="20"/>
        <v/>
      </c>
    </row>
    <row r="199" spans="2:11" x14ac:dyDescent="0.25">
      <c r="B199">
        <v>1977</v>
      </c>
      <c r="H199">
        <f t="shared" si="18"/>
        <v>0</v>
      </c>
      <c r="I199" s="9" t="str" cm="1">
        <f t="array" ref="I199">_xlfn.LET(_xlpm.total,SUM(D199:G199),_xlpm.maxv,MAX(D199:G199),IF(_xlpm.total=0,"",IF(_xlpm.maxv/_xlpm.total&lt;0.5,"Mixed-Class",_xlfn.IFS(_xlpm.maxv=D199,"Assault",_xlpm.maxv=E199,"Engineer",_xlpm.maxv=F199,"Recon",_xlpm.maxv=G199,"Support"))))</f>
        <v/>
      </c>
      <c r="J199" t="str">
        <f t="shared" si="19"/>
        <v/>
      </c>
      <c r="K199" s="10" t="str">
        <f t="shared" si="20"/>
        <v/>
      </c>
    </row>
    <row r="200" spans="2:11" x14ac:dyDescent="0.25">
      <c r="B200">
        <v>1987</v>
      </c>
      <c r="H200">
        <f t="shared" si="18"/>
        <v>0</v>
      </c>
      <c r="I200" s="9" t="str" cm="1">
        <f t="array" ref="I200">_xlfn.LET(_xlpm.total,SUM(D200:G200),_xlpm.maxv,MAX(D200:G200),IF(_xlpm.total=0,"",IF(_xlpm.maxv/_xlpm.total&lt;0.5,"Mixed-Class",_xlfn.IFS(_xlpm.maxv=D200,"Assault",_xlpm.maxv=E200,"Engineer",_xlpm.maxv=F200,"Recon",_xlpm.maxv=G200,"Support"))))</f>
        <v/>
      </c>
      <c r="J200" t="str">
        <f t="shared" si="19"/>
        <v/>
      </c>
      <c r="K200" s="10" t="str">
        <f t="shared" si="20"/>
        <v/>
      </c>
    </row>
    <row r="201" spans="2:11" x14ac:dyDescent="0.25">
      <c r="B201">
        <v>1997</v>
      </c>
      <c r="H201">
        <f t="shared" si="18"/>
        <v>0</v>
      </c>
      <c r="I201" s="9" t="str" cm="1">
        <f t="array" ref="I201">_xlfn.LET(_xlpm.total,SUM(D201:G201),_xlpm.maxv,MAX(D201:G201),IF(_xlpm.total=0,"",IF(_xlpm.maxv/_xlpm.total&lt;0.5,"Mixed-Class",_xlfn.IFS(_xlpm.maxv=D201,"Assault",_xlpm.maxv=E201,"Engineer",_xlpm.maxv=F201,"Recon",_xlpm.maxv=G201,"Support"))))</f>
        <v/>
      </c>
      <c r="J201" t="str">
        <f t="shared" si="19"/>
        <v/>
      </c>
      <c r="K201" s="10" t="str">
        <f t="shared" si="20"/>
        <v/>
      </c>
    </row>
    <row r="202" spans="2:11" x14ac:dyDescent="0.25">
      <c r="B202">
        <v>2007</v>
      </c>
      <c r="H202">
        <f t="shared" si="18"/>
        <v>0</v>
      </c>
      <c r="I202" s="9" t="str" cm="1">
        <f t="array" ref="I202">_xlfn.LET(_xlpm.total,SUM(D202:G202),_xlpm.maxv,MAX(D202:G202),IF(_xlpm.total=0,"",IF(_xlpm.maxv/_xlpm.total&lt;0.5,"Mixed-Class",_xlfn.IFS(_xlpm.maxv=D202,"Assault",_xlpm.maxv=E202,"Engineer",_xlpm.maxv=F202,"Recon",_xlpm.maxv=G202,"Support"))))</f>
        <v/>
      </c>
      <c r="J202" t="str">
        <f t="shared" si="19"/>
        <v/>
      </c>
      <c r="K202" s="10" t="str">
        <f t="shared" si="20"/>
        <v/>
      </c>
    </row>
    <row r="203" spans="2:11" x14ac:dyDescent="0.25">
      <c r="B203">
        <v>2017</v>
      </c>
      <c r="H203">
        <f t="shared" si="18"/>
        <v>0</v>
      </c>
      <c r="I203" s="9" t="str" cm="1">
        <f t="array" ref="I203">_xlfn.LET(_xlpm.total,SUM(D203:G203),_xlpm.maxv,MAX(D203:G203),IF(_xlpm.total=0,"",IF(_xlpm.maxv/_xlpm.total&lt;0.5,"Mixed-Class",_xlfn.IFS(_xlpm.maxv=D203,"Assault",_xlpm.maxv=E203,"Engineer",_xlpm.maxv=F203,"Recon",_xlpm.maxv=G203,"Support"))))</f>
        <v/>
      </c>
      <c r="J203" t="str">
        <f t="shared" si="19"/>
        <v/>
      </c>
      <c r="K203" s="10" t="str">
        <f t="shared" si="20"/>
        <v/>
      </c>
    </row>
    <row r="204" spans="2:11" x14ac:dyDescent="0.25">
      <c r="B204">
        <v>2027</v>
      </c>
      <c r="H204">
        <f t="shared" si="18"/>
        <v>0</v>
      </c>
      <c r="I204" s="9" t="str" cm="1">
        <f t="array" ref="I204">_xlfn.LET(_xlpm.total,SUM(D204:G204),_xlpm.maxv,MAX(D204:G204),IF(_xlpm.total=0,"",IF(_xlpm.maxv/_xlpm.total&lt;0.5,"Mixed-Class",_xlfn.IFS(_xlpm.maxv=D204,"Assault",_xlpm.maxv=E204,"Engineer",_xlpm.maxv=F204,"Recon",_xlpm.maxv=G204,"Support"))))</f>
        <v/>
      </c>
      <c r="J204" t="str">
        <f t="shared" si="19"/>
        <v/>
      </c>
      <c r="K204" s="10" t="str">
        <f t="shared" si="20"/>
        <v/>
      </c>
    </row>
    <row r="205" spans="2:11" x14ac:dyDescent="0.25">
      <c r="B205">
        <v>2037</v>
      </c>
      <c r="H205">
        <f t="shared" si="18"/>
        <v>0</v>
      </c>
      <c r="I205" s="9" t="str" cm="1">
        <f t="array" ref="I205">_xlfn.LET(_xlpm.total,SUM(D205:G205),_xlpm.maxv,MAX(D205:G205),IF(_xlpm.total=0,"",IF(_xlpm.maxv/_xlpm.total&lt;0.5,"Mixed-Class",_xlfn.IFS(_xlpm.maxv=D205,"Assault",_xlpm.maxv=E205,"Engineer",_xlpm.maxv=F205,"Recon",_xlpm.maxv=G205,"Support"))))</f>
        <v/>
      </c>
      <c r="J205" t="str">
        <f t="shared" si="19"/>
        <v/>
      </c>
      <c r="K205" s="10" t="str">
        <f t="shared" si="20"/>
        <v/>
      </c>
    </row>
    <row r="206" spans="2:11" x14ac:dyDescent="0.25">
      <c r="B206">
        <v>2047</v>
      </c>
      <c r="H206">
        <f t="shared" si="18"/>
        <v>0</v>
      </c>
      <c r="I206" s="9" t="str" cm="1">
        <f t="array" ref="I206">_xlfn.LET(_xlpm.total,SUM(D206:G206),_xlpm.maxv,MAX(D206:G206),IF(_xlpm.total=0,"",IF(_xlpm.maxv/_xlpm.total&lt;0.5,"Mixed-Class",_xlfn.IFS(_xlpm.maxv=D206,"Assault",_xlpm.maxv=E206,"Engineer",_xlpm.maxv=F206,"Recon",_xlpm.maxv=G206,"Support"))))</f>
        <v/>
      </c>
      <c r="J206" t="str">
        <f t="shared" si="19"/>
        <v/>
      </c>
      <c r="K206" s="10" t="str">
        <f t="shared" si="20"/>
        <v/>
      </c>
    </row>
    <row r="207" spans="2:11" x14ac:dyDescent="0.25">
      <c r="B207">
        <v>2057</v>
      </c>
      <c r="H207">
        <f t="shared" si="18"/>
        <v>0</v>
      </c>
      <c r="I207" s="9" t="str" cm="1">
        <f t="array" ref="I207">_xlfn.LET(_xlpm.total,SUM(D207:G207),_xlpm.maxv,MAX(D207:G207),IF(_xlpm.total=0,"",IF(_xlpm.maxv/_xlpm.total&lt;0.5,"Mixed-Class",_xlfn.IFS(_xlpm.maxv=D207,"Assault",_xlpm.maxv=E207,"Engineer",_xlpm.maxv=F207,"Recon",_xlpm.maxv=G207,"Support"))))</f>
        <v/>
      </c>
      <c r="J207" t="str">
        <f t="shared" si="19"/>
        <v/>
      </c>
      <c r="K207" s="10" t="str">
        <f t="shared" si="20"/>
        <v/>
      </c>
    </row>
    <row r="208" spans="2:11" x14ac:dyDescent="0.25">
      <c r="B208">
        <v>2067</v>
      </c>
      <c r="H208">
        <f t="shared" si="18"/>
        <v>0</v>
      </c>
      <c r="I208" s="9" t="str" cm="1">
        <f t="array" ref="I208">_xlfn.LET(_xlpm.total,SUM(D208:G208),_xlpm.maxv,MAX(D208:G208),IF(_xlpm.total=0,"",IF(_xlpm.maxv/_xlpm.total&lt;0.5,"Mixed-Class",_xlfn.IFS(_xlpm.maxv=D208,"Assault",_xlpm.maxv=E208,"Engineer",_xlpm.maxv=F208,"Recon",_xlpm.maxv=G208,"Support"))))</f>
        <v/>
      </c>
      <c r="J208" t="str">
        <f t="shared" si="19"/>
        <v/>
      </c>
      <c r="K208" s="10" t="str">
        <f t="shared" si="20"/>
        <v/>
      </c>
    </row>
    <row r="209" spans="2:11" x14ac:dyDescent="0.25">
      <c r="B209">
        <v>2077</v>
      </c>
      <c r="H209">
        <f t="shared" si="18"/>
        <v>0</v>
      </c>
      <c r="I209" s="9" t="str" cm="1">
        <f t="array" ref="I209">_xlfn.LET(_xlpm.total,SUM(D209:G209),_xlpm.maxv,MAX(D209:G209),IF(_xlpm.total=0,"",IF(_xlpm.maxv/_xlpm.total&lt;0.5,"Mixed-Class",_xlfn.IFS(_xlpm.maxv=D209,"Assault",_xlpm.maxv=E209,"Engineer",_xlpm.maxv=F209,"Recon",_xlpm.maxv=G209,"Support"))))</f>
        <v/>
      </c>
      <c r="J209" t="str">
        <f t="shared" si="19"/>
        <v/>
      </c>
      <c r="K209" s="10" t="str">
        <f t="shared" si="20"/>
        <v/>
      </c>
    </row>
    <row r="210" spans="2:11" x14ac:dyDescent="0.25">
      <c r="B210">
        <v>2087</v>
      </c>
      <c r="H210">
        <f t="shared" si="18"/>
        <v>0</v>
      </c>
      <c r="I210" s="9" t="str" cm="1">
        <f t="array" ref="I210">_xlfn.LET(_xlpm.total,SUM(D210:G210),_xlpm.maxv,MAX(D210:G210),IF(_xlpm.total=0,"",IF(_xlpm.maxv/_xlpm.total&lt;0.5,"Mixed-Class",_xlfn.IFS(_xlpm.maxv=D210,"Assault",_xlpm.maxv=E210,"Engineer",_xlpm.maxv=F210,"Recon",_xlpm.maxv=G210,"Support"))))</f>
        <v/>
      </c>
      <c r="J210" t="str">
        <f t="shared" si="19"/>
        <v/>
      </c>
      <c r="K210" s="10" t="str">
        <f t="shared" si="20"/>
        <v/>
      </c>
    </row>
    <row r="211" spans="2:11" x14ac:dyDescent="0.25">
      <c r="B211">
        <v>2097</v>
      </c>
      <c r="H211">
        <f t="shared" si="18"/>
        <v>0</v>
      </c>
      <c r="I211" s="9" t="str" cm="1">
        <f t="array" ref="I211">_xlfn.LET(_xlpm.total,SUM(D211:G211),_xlpm.maxv,MAX(D211:G211),IF(_xlpm.total=0,"",IF(_xlpm.maxv/_xlpm.total&lt;0.5,"Mixed-Class",_xlfn.IFS(_xlpm.maxv=D211,"Assault",_xlpm.maxv=E211,"Engineer",_xlpm.maxv=F211,"Recon",_xlpm.maxv=G211,"Support"))))</f>
        <v/>
      </c>
      <c r="J211" t="str">
        <f t="shared" si="19"/>
        <v/>
      </c>
      <c r="K211" s="10" t="str">
        <f t="shared" si="20"/>
        <v/>
      </c>
    </row>
    <row r="212" spans="2:11" x14ac:dyDescent="0.25">
      <c r="B212">
        <v>2107</v>
      </c>
      <c r="H212">
        <f t="shared" si="18"/>
        <v>0</v>
      </c>
      <c r="I212" s="9" t="str" cm="1">
        <f t="array" ref="I212">_xlfn.LET(_xlpm.total,SUM(D212:G212),_xlpm.maxv,MAX(D212:G212),IF(_xlpm.total=0,"",IF(_xlpm.maxv/_xlpm.total&lt;0.5,"Mixed-Class",_xlfn.IFS(_xlpm.maxv=D212,"Assault",_xlpm.maxv=E212,"Engineer",_xlpm.maxv=F212,"Recon",_xlpm.maxv=G212,"Support"))))</f>
        <v/>
      </c>
      <c r="J212" t="str">
        <f t="shared" si="19"/>
        <v/>
      </c>
      <c r="K212" s="10" t="str">
        <f t="shared" si="20"/>
        <v/>
      </c>
    </row>
    <row r="213" spans="2:11" x14ac:dyDescent="0.25">
      <c r="B213">
        <v>2117</v>
      </c>
      <c r="H213">
        <f t="shared" si="18"/>
        <v>0</v>
      </c>
      <c r="I213" s="9" t="str" cm="1">
        <f t="array" ref="I213">_xlfn.LET(_xlpm.total,SUM(D213:G213),_xlpm.maxv,MAX(D213:G213),IF(_xlpm.total=0,"",IF(_xlpm.maxv/_xlpm.total&lt;0.5,"Mixed-Class",_xlfn.IFS(_xlpm.maxv=D213,"Assault",_xlpm.maxv=E213,"Engineer",_xlpm.maxv=F213,"Recon",_xlpm.maxv=G213,"Support"))))</f>
        <v/>
      </c>
      <c r="J213" t="str">
        <f t="shared" si="19"/>
        <v/>
      </c>
      <c r="K213" s="10" t="str">
        <f t="shared" si="20"/>
        <v/>
      </c>
    </row>
    <row r="214" spans="2:11" x14ac:dyDescent="0.25">
      <c r="B214">
        <v>2127</v>
      </c>
      <c r="H214">
        <f t="shared" si="18"/>
        <v>0</v>
      </c>
      <c r="I214" s="9" t="str" cm="1">
        <f t="array" ref="I214">_xlfn.LET(_xlpm.total,SUM(D214:G214),_xlpm.maxv,MAX(D214:G214),IF(_xlpm.total=0,"",IF(_xlpm.maxv/_xlpm.total&lt;0.5,"Mixed-Class",_xlfn.IFS(_xlpm.maxv=D214,"Assault",_xlpm.maxv=E214,"Engineer",_xlpm.maxv=F214,"Recon",_xlpm.maxv=G214,"Support"))))</f>
        <v/>
      </c>
      <c r="J214" t="str">
        <f t="shared" si="19"/>
        <v/>
      </c>
      <c r="K214" s="10" t="str">
        <f t="shared" si="20"/>
        <v/>
      </c>
    </row>
    <row r="215" spans="2:11" x14ac:dyDescent="0.25">
      <c r="B215">
        <v>2137</v>
      </c>
      <c r="H215">
        <f t="shared" si="18"/>
        <v>0</v>
      </c>
      <c r="I215" s="9" t="str" cm="1">
        <f t="array" ref="I215">_xlfn.LET(_xlpm.total,SUM(D215:G215),_xlpm.maxv,MAX(D215:G215),IF(_xlpm.total=0,"",IF(_xlpm.maxv/_xlpm.total&lt;0.5,"Mixed-Class",_xlfn.IFS(_xlpm.maxv=D215,"Assault",_xlpm.maxv=E215,"Engineer",_xlpm.maxv=F215,"Recon",_xlpm.maxv=G215,"Support"))))</f>
        <v/>
      </c>
      <c r="J215" t="str">
        <f t="shared" si="19"/>
        <v/>
      </c>
      <c r="K215" s="10" t="str">
        <f t="shared" si="20"/>
        <v/>
      </c>
    </row>
    <row r="216" spans="2:11" x14ac:dyDescent="0.25">
      <c r="B216">
        <v>2147</v>
      </c>
      <c r="H216">
        <f t="shared" si="18"/>
        <v>0</v>
      </c>
      <c r="I216" s="9" t="str" cm="1">
        <f t="array" ref="I216">_xlfn.LET(_xlpm.total,SUM(D216:G216),_xlpm.maxv,MAX(D216:G216),IF(_xlpm.total=0,"",IF(_xlpm.maxv/_xlpm.total&lt;0.5,"Mixed-Class",_xlfn.IFS(_xlpm.maxv=D216,"Assault",_xlpm.maxv=E216,"Engineer",_xlpm.maxv=F216,"Recon",_xlpm.maxv=G216,"Support"))))</f>
        <v/>
      </c>
      <c r="J216" t="str">
        <f t="shared" si="19"/>
        <v/>
      </c>
      <c r="K216" s="10" t="str">
        <f t="shared" si="20"/>
        <v/>
      </c>
    </row>
    <row r="217" spans="2:11" x14ac:dyDescent="0.25">
      <c r="B217">
        <v>2157</v>
      </c>
      <c r="H217">
        <f t="shared" si="18"/>
        <v>0</v>
      </c>
      <c r="I217" s="9" t="str" cm="1">
        <f t="array" ref="I217">_xlfn.LET(_xlpm.total,SUM(D217:G217),_xlpm.maxv,MAX(D217:G217),IF(_xlpm.total=0,"",IF(_xlpm.maxv/_xlpm.total&lt;0.5,"Mixed-Class",_xlfn.IFS(_xlpm.maxv=D217,"Assault",_xlpm.maxv=E217,"Engineer",_xlpm.maxv=F217,"Recon",_xlpm.maxv=G217,"Support"))))</f>
        <v/>
      </c>
      <c r="J217" t="str">
        <f t="shared" si="19"/>
        <v/>
      </c>
      <c r="K217" s="10" t="str">
        <f t="shared" si="20"/>
        <v/>
      </c>
    </row>
    <row r="218" spans="2:11" x14ac:dyDescent="0.25">
      <c r="B218">
        <v>2167</v>
      </c>
      <c r="H218">
        <f t="shared" si="18"/>
        <v>0</v>
      </c>
      <c r="I218" s="9" t="str" cm="1">
        <f t="array" ref="I218">_xlfn.LET(_xlpm.total,SUM(D218:G218),_xlpm.maxv,MAX(D218:G218),IF(_xlpm.total=0,"",IF(_xlpm.maxv/_xlpm.total&lt;0.5,"Mixed-Class",_xlfn.IFS(_xlpm.maxv=D218,"Assault",_xlpm.maxv=E218,"Engineer",_xlpm.maxv=F218,"Recon",_xlpm.maxv=G218,"Support"))))</f>
        <v/>
      </c>
      <c r="J218" t="str">
        <f t="shared" si="19"/>
        <v/>
      </c>
      <c r="K218" s="10" t="str">
        <f t="shared" si="20"/>
        <v/>
      </c>
    </row>
    <row r="219" spans="2:11" x14ac:dyDescent="0.25">
      <c r="B219">
        <v>2177</v>
      </c>
      <c r="H219">
        <f t="shared" si="18"/>
        <v>0</v>
      </c>
      <c r="I219" s="9" t="str" cm="1">
        <f t="array" ref="I219">_xlfn.LET(_xlpm.total,SUM(D219:G219),_xlpm.maxv,MAX(D219:G219),IF(_xlpm.total=0,"",IF(_xlpm.maxv/_xlpm.total&lt;0.5,"Mixed-Class",_xlfn.IFS(_xlpm.maxv=D219,"Assault",_xlpm.maxv=E219,"Engineer",_xlpm.maxv=F219,"Recon",_xlpm.maxv=G219,"Support"))))</f>
        <v/>
      </c>
      <c r="J219" t="str">
        <f t="shared" si="19"/>
        <v/>
      </c>
      <c r="K219" s="10" t="str">
        <f t="shared" si="20"/>
        <v/>
      </c>
    </row>
    <row r="220" spans="2:11" x14ac:dyDescent="0.25">
      <c r="B220">
        <v>2187</v>
      </c>
      <c r="H220">
        <f t="shared" si="18"/>
        <v>0</v>
      </c>
      <c r="I220" s="9" t="str" cm="1">
        <f t="array" ref="I220">_xlfn.LET(_xlpm.total,SUM(D220:G220),_xlpm.maxv,MAX(D220:G220),IF(_xlpm.total=0,"",IF(_xlpm.maxv/_xlpm.total&lt;0.5,"Mixed-Class",_xlfn.IFS(_xlpm.maxv=D220,"Assault",_xlpm.maxv=E220,"Engineer",_xlpm.maxv=F220,"Recon",_xlpm.maxv=G220,"Support"))))</f>
        <v/>
      </c>
      <c r="J220" t="str">
        <f t="shared" si="19"/>
        <v/>
      </c>
      <c r="K220" s="10" t="str">
        <f t="shared" si="20"/>
        <v/>
      </c>
    </row>
    <row r="221" spans="2:11" x14ac:dyDescent="0.25">
      <c r="B221">
        <v>2197</v>
      </c>
      <c r="H221">
        <f t="shared" si="18"/>
        <v>0</v>
      </c>
      <c r="I221" s="9" t="str" cm="1">
        <f t="array" ref="I221">_xlfn.LET(_xlpm.total,SUM(D221:G221),_xlpm.maxv,MAX(D221:G221),IF(_xlpm.total=0,"",IF(_xlpm.maxv/_xlpm.total&lt;0.5,"Mixed-Class",_xlfn.IFS(_xlpm.maxv=D221,"Assault",_xlpm.maxv=E221,"Engineer",_xlpm.maxv=F221,"Recon",_xlpm.maxv=G221,"Support"))))</f>
        <v/>
      </c>
      <c r="J221" t="str">
        <f t="shared" si="19"/>
        <v/>
      </c>
      <c r="K221" s="10" t="str">
        <f t="shared" si="20"/>
        <v/>
      </c>
    </row>
    <row r="222" spans="2:11" x14ac:dyDescent="0.25">
      <c r="B222">
        <v>2207</v>
      </c>
      <c r="H222">
        <f t="shared" si="18"/>
        <v>0</v>
      </c>
      <c r="I222" s="9" t="str" cm="1">
        <f t="array" ref="I222">_xlfn.LET(_xlpm.total,SUM(D222:G222),_xlpm.maxv,MAX(D222:G222),IF(_xlpm.total=0,"",IF(_xlpm.maxv/_xlpm.total&lt;0.5,"Mixed-Class",_xlfn.IFS(_xlpm.maxv=D222,"Assault",_xlpm.maxv=E222,"Engineer",_xlpm.maxv=F222,"Recon",_xlpm.maxv=G222,"Support"))))</f>
        <v/>
      </c>
      <c r="J222" t="str">
        <f t="shared" si="19"/>
        <v/>
      </c>
      <c r="K222" s="10" t="str">
        <f t="shared" si="20"/>
        <v/>
      </c>
    </row>
    <row r="223" spans="2:11" x14ac:dyDescent="0.25">
      <c r="B223">
        <v>2217</v>
      </c>
      <c r="H223">
        <f t="shared" si="18"/>
        <v>0</v>
      </c>
      <c r="I223" s="9" t="str" cm="1">
        <f t="array" ref="I223">_xlfn.LET(_xlpm.total,SUM(D223:G223),_xlpm.maxv,MAX(D223:G223),IF(_xlpm.total=0,"",IF(_xlpm.maxv/_xlpm.total&lt;0.5,"Mixed-Class",_xlfn.IFS(_xlpm.maxv=D223,"Assault",_xlpm.maxv=E223,"Engineer",_xlpm.maxv=F223,"Recon",_xlpm.maxv=G223,"Support"))))</f>
        <v/>
      </c>
      <c r="J223" t="str">
        <f t="shared" si="19"/>
        <v/>
      </c>
      <c r="K223" s="10" t="str">
        <f t="shared" si="20"/>
        <v/>
      </c>
    </row>
    <row r="224" spans="2:11" x14ac:dyDescent="0.25">
      <c r="B224">
        <v>2227</v>
      </c>
      <c r="H224">
        <f t="shared" si="18"/>
        <v>0</v>
      </c>
      <c r="I224" s="9" t="str" cm="1">
        <f t="array" ref="I224">_xlfn.LET(_xlpm.total,SUM(D224:G224),_xlpm.maxv,MAX(D224:G224),IF(_xlpm.total=0,"",IF(_xlpm.maxv/_xlpm.total&lt;0.5,"Mixed-Class",_xlfn.IFS(_xlpm.maxv=D224,"Assault",_xlpm.maxv=E224,"Engineer",_xlpm.maxv=F224,"Recon",_xlpm.maxv=G224,"Support"))))</f>
        <v/>
      </c>
      <c r="J224" t="str">
        <f t="shared" si="19"/>
        <v/>
      </c>
      <c r="K224" s="10" t="str">
        <f t="shared" si="20"/>
        <v/>
      </c>
    </row>
    <row r="225" spans="2:11" x14ac:dyDescent="0.25">
      <c r="B225">
        <v>2237</v>
      </c>
      <c r="H225">
        <f t="shared" si="18"/>
        <v>0</v>
      </c>
      <c r="I225" s="9" t="str" cm="1">
        <f t="array" ref="I225">_xlfn.LET(_xlpm.total,SUM(D225:G225),_xlpm.maxv,MAX(D225:G225),IF(_xlpm.total=0,"",IF(_xlpm.maxv/_xlpm.total&lt;0.5,"Mixed-Class",_xlfn.IFS(_xlpm.maxv=D225,"Assault",_xlpm.maxv=E225,"Engineer",_xlpm.maxv=F225,"Recon",_xlpm.maxv=G225,"Support"))))</f>
        <v/>
      </c>
      <c r="J225" t="str">
        <f t="shared" si="19"/>
        <v/>
      </c>
      <c r="K225" s="10" t="str">
        <f t="shared" si="20"/>
        <v/>
      </c>
    </row>
    <row r="226" spans="2:11" x14ac:dyDescent="0.25">
      <c r="B226">
        <v>2247</v>
      </c>
      <c r="H226">
        <f t="shared" si="18"/>
        <v>0</v>
      </c>
      <c r="I226" s="9" t="str" cm="1">
        <f t="array" ref="I226">_xlfn.LET(_xlpm.total,SUM(D226:G226),_xlpm.maxv,MAX(D226:G226),IF(_xlpm.total=0,"",IF(_xlpm.maxv/_xlpm.total&lt;0.5,"Mixed-Class",_xlfn.IFS(_xlpm.maxv=D226,"Assault",_xlpm.maxv=E226,"Engineer",_xlpm.maxv=F226,"Recon",_xlpm.maxv=G226,"Support"))))</f>
        <v/>
      </c>
      <c r="J226" t="str">
        <f t="shared" si="19"/>
        <v/>
      </c>
      <c r="K226" s="10" t="str">
        <f t="shared" si="20"/>
        <v/>
      </c>
    </row>
    <row r="227" spans="2:11" x14ac:dyDescent="0.25">
      <c r="B227">
        <v>2257</v>
      </c>
      <c r="H227">
        <f t="shared" si="18"/>
        <v>0</v>
      </c>
      <c r="I227" s="9" t="str" cm="1">
        <f t="array" ref="I227">_xlfn.LET(_xlpm.total,SUM(D227:G227),_xlpm.maxv,MAX(D227:G227),IF(_xlpm.total=0,"",IF(_xlpm.maxv/_xlpm.total&lt;0.5,"Mixed-Class",_xlfn.IFS(_xlpm.maxv=D227,"Assault",_xlpm.maxv=E227,"Engineer",_xlpm.maxv=F227,"Recon",_xlpm.maxv=G227,"Support"))))</f>
        <v/>
      </c>
      <c r="J227" t="str">
        <f t="shared" si="19"/>
        <v/>
      </c>
      <c r="K227" s="10" t="str">
        <f t="shared" si="20"/>
        <v/>
      </c>
    </row>
    <row r="228" spans="2:11" x14ac:dyDescent="0.25">
      <c r="B228">
        <v>2267</v>
      </c>
      <c r="H228">
        <f t="shared" si="18"/>
        <v>0</v>
      </c>
      <c r="I228" s="9" t="str" cm="1">
        <f t="array" ref="I228">_xlfn.LET(_xlpm.total,SUM(D228:G228),_xlpm.maxv,MAX(D228:G228),IF(_xlpm.total=0,"",IF(_xlpm.maxv/_xlpm.total&lt;0.5,"Mixed-Class",_xlfn.IFS(_xlpm.maxv=D228,"Assault",_xlpm.maxv=E228,"Engineer",_xlpm.maxv=F228,"Recon",_xlpm.maxv=G228,"Support"))))</f>
        <v/>
      </c>
      <c r="J228" t="str">
        <f t="shared" si="19"/>
        <v/>
      </c>
      <c r="K228" s="10" t="str">
        <f t="shared" si="20"/>
        <v/>
      </c>
    </row>
    <row r="229" spans="2:11" x14ac:dyDescent="0.25">
      <c r="B229">
        <v>2277</v>
      </c>
      <c r="H229">
        <f t="shared" si="18"/>
        <v>0</v>
      </c>
      <c r="I229" s="9" t="str" cm="1">
        <f t="array" ref="I229">_xlfn.LET(_xlpm.total,SUM(D229:G229),_xlpm.maxv,MAX(D229:G229),IF(_xlpm.total=0,"",IF(_xlpm.maxv/_xlpm.total&lt;0.5,"Mixed-Class",_xlfn.IFS(_xlpm.maxv=D229,"Assault",_xlpm.maxv=E229,"Engineer",_xlpm.maxv=F229,"Recon",_xlpm.maxv=G229,"Support"))))</f>
        <v/>
      </c>
      <c r="J229" t="str">
        <f t="shared" si="19"/>
        <v/>
      </c>
      <c r="K229" s="10" t="str">
        <f t="shared" si="20"/>
        <v/>
      </c>
    </row>
    <row r="230" spans="2:11" x14ac:dyDescent="0.25">
      <c r="B230">
        <v>2287</v>
      </c>
      <c r="H230">
        <f t="shared" si="18"/>
        <v>0</v>
      </c>
      <c r="I230" s="9" t="str" cm="1">
        <f t="array" ref="I230">_xlfn.LET(_xlpm.total,SUM(D230:G230),_xlpm.maxv,MAX(D230:G230),IF(_xlpm.total=0,"",IF(_xlpm.maxv/_xlpm.total&lt;0.5,"Mixed-Class",_xlfn.IFS(_xlpm.maxv=D230,"Assault",_xlpm.maxv=E230,"Engineer",_xlpm.maxv=F230,"Recon",_xlpm.maxv=G230,"Support"))))</f>
        <v/>
      </c>
      <c r="J230" t="str">
        <f t="shared" si="19"/>
        <v/>
      </c>
      <c r="K230" s="10" t="str">
        <f t="shared" si="20"/>
        <v/>
      </c>
    </row>
    <row r="231" spans="2:11" x14ac:dyDescent="0.25">
      <c r="B231">
        <v>2297</v>
      </c>
      <c r="H231">
        <f t="shared" si="18"/>
        <v>0</v>
      </c>
      <c r="I231" s="9" t="str" cm="1">
        <f t="array" ref="I231">_xlfn.LET(_xlpm.total,SUM(D231:G231),_xlpm.maxv,MAX(D231:G231),IF(_xlpm.total=0,"",IF(_xlpm.maxv/_xlpm.total&lt;0.5,"Mixed-Class",_xlfn.IFS(_xlpm.maxv=D231,"Assault",_xlpm.maxv=E231,"Engineer",_xlpm.maxv=F231,"Recon",_xlpm.maxv=G231,"Support"))))</f>
        <v/>
      </c>
      <c r="J231" t="str">
        <f t="shared" si="19"/>
        <v/>
      </c>
      <c r="K231" s="10" t="str">
        <f t="shared" si="20"/>
        <v/>
      </c>
    </row>
    <row r="232" spans="2:11" x14ac:dyDescent="0.25">
      <c r="B232">
        <v>2307</v>
      </c>
      <c r="H232">
        <f t="shared" si="18"/>
        <v>0</v>
      </c>
      <c r="I232" s="9" t="str" cm="1">
        <f t="array" ref="I232">_xlfn.LET(_xlpm.total,SUM(D232:G232),_xlpm.maxv,MAX(D232:G232),IF(_xlpm.total=0,"",IF(_xlpm.maxv/_xlpm.total&lt;0.5,"Mixed-Class",_xlfn.IFS(_xlpm.maxv=D232,"Assault",_xlpm.maxv=E232,"Engineer",_xlpm.maxv=F232,"Recon",_xlpm.maxv=G232,"Support"))))</f>
        <v/>
      </c>
      <c r="J232" t="str">
        <f t="shared" si="19"/>
        <v/>
      </c>
      <c r="K232" s="10" t="str">
        <f t="shared" si="20"/>
        <v/>
      </c>
    </row>
    <row r="233" spans="2:11" x14ac:dyDescent="0.25">
      <c r="B233">
        <v>2317</v>
      </c>
      <c r="H233">
        <f t="shared" si="18"/>
        <v>0</v>
      </c>
      <c r="I233" s="9" t="str" cm="1">
        <f t="array" ref="I233">_xlfn.LET(_xlpm.total,SUM(D233:G233),_xlpm.maxv,MAX(D233:G233),IF(_xlpm.total=0,"",IF(_xlpm.maxv/_xlpm.total&lt;0.5,"Mixed-Class",_xlfn.IFS(_xlpm.maxv=D233,"Assault",_xlpm.maxv=E233,"Engineer",_xlpm.maxv=F233,"Recon",_xlpm.maxv=G233,"Support"))))</f>
        <v/>
      </c>
      <c r="J233" t="str">
        <f t="shared" si="19"/>
        <v/>
      </c>
      <c r="K233" s="10" t="str">
        <f t="shared" si="20"/>
        <v/>
      </c>
    </row>
    <row r="234" spans="2:11" x14ac:dyDescent="0.25">
      <c r="B234">
        <v>2327</v>
      </c>
      <c r="H234">
        <f t="shared" si="18"/>
        <v>0</v>
      </c>
      <c r="I234" s="9" t="str" cm="1">
        <f t="array" ref="I234">_xlfn.LET(_xlpm.total,SUM(D234:G234),_xlpm.maxv,MAX(D234:G234),IF(_xlpm.total=0,"",IF(_xlpm.maxv/_xlpm.total&lt;0.5,"Mixed-Class",_xlfn.IFS(_xlpm.maxv=D234,"Assault",_xlpm.maxv=E234,"Engineer",_xlpm.maxv=F234,"Recon",_xlpm.maxv=G234,"Support"))))</f>
        <v/>
      </c>
      <c r="J234" t="str">
        <f t="shared" si="19"/>
        <v/>
      </c>
      <c r="K234" s="10" t="str">
        <f t="shared" si="20"/>
        <v/>
      </c>
    </row>
    <row r="235" spans="2:11" x14ac:dyDescent="0.25">
      <c r="B235">
        <v>2337</v>
      </c>
      <c r="H235">
        <f t="shared" si="18"/>
        <v>0</v>
      </c>
      <c r="I235" s="9" t="str" cm="1">
        <f t="array" ref="I235">_xlfn.LET(_xlpm.total,SUM(D235:G235),_xlpm.maxv,MAX(D235:G235),IF(_xlpm.total=0,"",IF(_xlpm.maxv/_xlpm.total&lt;0.5,"Mixed-Class",_xlfn.IFS(_xlpm.maxv=D235,"Assault",_xlpm.maxv=E235,"Engineer",_xlpm.maxv=F235,"Recon",_xlpm.maxv=G235,"Support"))))</f>
        <v/>
      </c>
      <c r="J235" t="str">
        <f t="shared" si="19"/>
        <v/>
      </c>
      <c r="K235" s="10" t="str">
        <f t="shared" si="20"/>
        <v/>
      </c>
    </row>
    <row r="236" spans="2:11" x14ac:dyDescent="0.25">
      <c r="B236">
        <v>2347</v>
      </c>
      <c r="H236">
        <f t="shared" si="18"/>
        <v>0</v>
      </c>
      <c r="I236" s="9" t="str" cm="1">
        <f t="array" ref="I236">_xlfn.LET(_xlpm.total,SUM(D236:G236),_xlpm.maxv,MAX(D236:G236),IF(_xlpm.total=0,"",IF(_xlpm.maxv/_xlpm.total&lt;0.5,"Mixed-Class",_xlfn.IFS(_xlpm.maxv=D236,"Assault",_xlpm.maxv=E236,"Engineer",_xlpm.maxv=F236,"Recon",_xlpm.maxv=G236,"Support"))))</f>
        <v/>
      </c>
      <c r="J236" t="str">
        <f t="shared" si="19"/>
        <v/>
      </c>
      <c r="K236" s="10" t="str">
        <f t="shared" si="20"/>
        <v/>
      </c>
    </row>
    <row r="237" spans="2:11" x14ac:dyDescent="0.25">
      <c r="B237">
        <v>2357</v>
      </c>
      <c r="H237">
        <f t="shared" si="18"/>
        <v>0</v>
      </c>
      <c r="I237" s="9" t="str" cm="1">
        <f t="array" ref="I237">_xlfn.LET(_xlpm.total,SUM(D237:G237),_xlpm.maxv,MAX(D237:G237),IF(_xlpm.total=0,"",IF(_xlpm.maxv/_xlpm.total&lt;0.5,"Mixed-Class",_xlfn.IFS(_xlpm.maxv=D237,"Assault",_xlpm.maxv=E237,"Engineer",_xlpm.maxv=F237,"Recon",_xlpm.maxv=G237,"Support"))))</f>
        <v/>
      </c>
      <c r="J237" t="str">
        <f t="shared" si="19"/>
        <v/>
      </c>
      <c r="K237" s="10" t="str">
        <f t="shared" si="20"/>
        <v/>
      </c>
    </row>
    <row r="238" spans="2:11" x14ac:dyDescent="0.25">
      <c r="B238">
        <v>2367</v>
      </c>
      <c r="H238">
        <f t="shared" si="18"/>
        <v>0</v>
      </c>
      <c r="I238" s="9" t="str" cm="1">
        <f t="array" ref="I238">_xlfn.LET(_xlpm.total,SUM(D238:G238),_xlpm.maxv,MAX(D238:G238),IF(_xlpm.total=0,"",IF(_xlpm.maxv/_xlpm.total&lt;0.5,"Mixed-Class",_xlfn.IFS(_xlpm.maxv=D238,"Assault",_xlpm.maxv=E238,"Engineer",_xlpm.maxv=F238,"Recon",_xlpm.maxv=G238,"Support"))))</f>
        <v/>
      </c>
      <c r="J238" t="str">
        <f t="shared" si="19"/>
        <v/>
      </c>
      <c r="K238" s="10" t="str">
        <f t="shared" si="20"/>
        <v/>
      </c>
    </row>
    <row r="239" spans="2:11" x14ac:dyDescent="0.25">
      <c r="B239">
        <v>2377</v>
      </c>
      <c r="H239">
        <f t="shared" si="18"/>
        <v>0</v>
      </c>
      <c r="I239" s="9" t="str" cm="1">
        <f t="array" ref="I239">_xlfn.LET(_xlpm.total,SUM(D239:G239),_xlpm.maxv,MAX(D239:G239),IF(_xlpm.total=0,"",IF(_xlpm.maxv/_xlpm.total&lt;0.5,"Mixed-Class",_xlfn.IFS(_xlpm.maxv=D239,"Assault",_xlpm.maxv=E239,"Engineer",_xlpm.maxv=F239,"Recon",_xlpm.maxv=G239,"Support"))))</f>
        <v/>
      </c>
      <c r="J239" t="str">
        <f t="shared" si="19"/>
        <v/>
      </c>
      <c r="K239" s="10" t="str">
        <f t="shared" si="20"/>
        <v/>
      </c>
    </row>
    <row r="240" spans="2:11" x14ac:dyDescent="0.25">
      <c r="B240">
        <v>2387</v>
      </c>
      <c r="H240">
        <f t="shared" si="18"/>
        <v>0</v>
      </c>
      <c r="I240" s="9" t="str" cm="1">
        <f t="array" ref="I240">_xlfn.LET(_xlpm.total,SUM(D240:G240),_xlpm.maxv,MAX(D240:G240),IF(_xlpm.total=0,"",IF(_xlpm.maxv/_xlpm.total&lt;0.5,"Mixed-Class",_xlfn.IFS(_xlpm.maxv=D240,"Assault",_xlpm.maxv=E240,"Engineer",_xlpm.maxv=F240,"Recon",_xlpm.maxv=G240,"Support"))))</f>
        <v/>
      </c>
      <c r="J240" t="str">
        <f t="shared" si="19"/>
        <v/>
      </c>
      <c r="K240" s="10" t="str">
        <f t="shared" si="20"/>
        <v/>
      </c>
    </row>
    <row r="241" spans="2:11" x14ac:dyDescent="0.25">
      <c r="B241">
        <v>2397</v>
      </c>
      <c r="H241">
        <f t="shared" si="18"/>
        <v>0</v>
      </c>
      <c r="I241" s="9" t="str" cm="1">
        <f t="array" ref="I241">_xlfn.LET(_xlpm.total,SUM(D241:G241),_xlpm.maxv,MAX(D241:G241),IF(_xlpm.total=0,"",IF(_xlpm.maxv/_xlpm.total&lt;0.5,"Mixed-Class",_xlfn.IFS(_xlpm.maxv=D241,"Assault",_xlpm.maxv=E241,"Engineer",_xlpm.maxv=F241,"Recon",_xlpm.maxv=G241,"Support"))))</f>
        <v/>
      </c>
      <c r="J241" t="str">
        <f t="shared" si="19"/>
        <v/>
      </c>
      <c r="K241" s="10" t="str">
        <f t="shared" si="20"/>
        <v/>
      </c>
    </row>
    <row r="242" spans="2:11" x14ac:dyDescent="0.25">
      <c r="B242">
        <v>2407</v>
      </c>
      <c r="H242">
        <f t="shared" si="18"/>
        <v>0</v>
      </c>
      <c r="I242" s="9" t="str" cm="1">
        <f t="array" ref="I242">_xlfn.LET(_xlpm.total,SUM(D242:G242),_xlpm.maxv,MAX(D242:G242),IF(_xlpm.total=0,"",IF(_xlpm.maxv/_xlpm.total&lt;0.5,"Mixed-Class",_xlfn.IFS(_xlpm.maxv=D242,"Assault",_xlpm.maxv=E242,"Engineer",_xlpm.maxv=F242,"Recon",_xlpm.maxv=G242,"Support"))))</f>
        <v/>
      </c>
      <c r="J242" t="str">
        <f t="shared" si="19"/>
        <v/>
      </c>
      <c r="K242" s="10" t="str">
        <f t="shared" si="20"/>
        <v/>
      </c>
    </row>
    <row r="243" spans="2:11" x14ac:dyDescent="0.25">
      <c r="B243">
        <v>2417</v>
      </c>
      <c r="H243">
        <f t="shared" si="18"/>
        <v>0</v>
      </c>
      <c r="I243" s="9" t="str" cm="1">
        <f t="array" ref="I243">_xlfn.LET(_xlpm.total,SUM(D243:G243),_xlpm.maxv,MAX(D243:G243),IF(_xlpm.total=0,"",IF(_xlpm.maxv/_xlpm.total&lt;0.5,"Mixed-Class",_xlfn.IFS(_xlpm.maxv=D243,"Assault",_xlpm.maxv=E243,"Engineer",_xlpm.maxv=F243,"Recon",_xlpm.maxv=G243,"Support"))))</f>
        <v/>
      </c>
      <c r="J243" t="str">
        <f t="shared" si="19"/>
        <v/>
      </c>
      <c r="K243" s="10" t="str">
        <f t="shared" si="20"/>
        <v/>
      </c>
    </row>
    <row r="244" spans="2:11" x14ac:dyDescent="0.25">
      <c r="B244">
        <v>2427</v>
      </c>
      <c r="H244">
        <f t="shared" si="18"/>
        <v>0</v>
      </c>
      <c r="I244" s="9" t="str" cm="1">
        <f t="array" ref="I244">_xlfn.LET(_xlpm.total,SUM(D244:G244),_xlpm.maxv,MAX(D244:G244),IF(_xlpm.total=0,"",IF(_xlpm.maxv/_xlpm.total&lt;0.5,"Mixed-Class",_xlfn.IFS(_xlpm.maxv=D244,"Assault",_xlpm.maxv=E244,"Engineer",_xlpm.maxv=F244,"Recon",_xlpm.maxv=G244,"Support"))))</f>
        <v/>
      </c>
      <c r="J244" t="str">
        <f t="shared" si="19"/>
        <v/>
      </c>
      <c r="K244" s="10" t="str">
        <f t="shared" si="20"/>
        <v/>
      </c>
    </row>
    <row r="245" spans="2:11" x14ac:dyDescent="0.25">
      <c r="B245">
        <v>2437</v>
      </c>
      <c r="H245">
        <f t="shared" si="18"/>
        <v>0</v>
      </c>
      <c r="I245" s="9" t="str" cm="1">
        <f t="array" ref="I245">_xlfn.LET(_xlpm.total,SUM(D245:G245),_xlpm.maxv,MAX(D245:G245),IF(_xlpm.total=0,"",IF(_xlpm.maxv/_xlpm.total&lt;0.5,"Mixed-Class",_xlfn.IFS(_xlpm.maxv=D245,"Assault",_xlpm.maxv=E245,"Engineer",_xlpm.maxv=F245,"Recon",_xlpm.maxv=G245,"Support"))))</f>
        <v/>
      </c>
      <c r="J245" t="str">
        <f t="shared" si="19"/>
        <v/>
      </c>
      <c r="K245" s="10" t="str">
        <f t="shared" si="20"/>
        <v/>
      </c>
    </row>
    <row r="246" spans="2:11" x14ac:dyDescent="0.25">
      <c r="B246">
        <v>2447</v>
      </c>
      <c r="H246">
        <f t="shared" si="18"/>
        <v>0</v>
      </c>
      <c r="I246" s="9" t="str" cm="1">
        <f t="array" ref="I246">_xlfn.LET(_xlpm.total,SUM(D246:G246),_xlpm.maxv,MAX(D246:G246),IF(_xlpm.total=0,"",IF(_xlpm.maxv/_xlpm.total&lt;0.5,"Mixed-Class",_xlfn.IFS(_xlpm.maxv=D246,"Assault",_xlpm.maxv=E246,"Engineer",_xlpm.maxv=F246,"Recon",_xlpm.maxv=G246,"Support"))))</f>
        <v/>
      </c>
      <c r="J246" t="str">
        <f t="shared" si="19"/>
        <v/>
      </c>
      <c r="K246" s="10" t="str">
        <f t="shared" si="20"/>
        <v/>
      </c>
    </row>
    <row r="247" spans="2:11" x14ac:dyDescent="0.25">
      <c r="B247">
        <v>2457</v>
      </c>
      <c r="H247">
        <f t="shared" si="18"/>
        <v>0</v>
      </c>
      <c r="I247" s="9" t="str" cm="1">
        <f t="array" ref="I247">_xlfn.LET(_xlpm.total,SUM(D247:G247),_xlpm.maxv,MAX(D247:G247),IF(_xlpm.total=0,"",IF(_xlpm.maxv/_xlpm.total&lt;0.5,"Mixed-Class",_xlfn.IFS(_xlpm.maxv=D247,"Assault",_xlpm.maxv=E247,"Engineer",_xlpm.maxv=F247,"Recon",_xlpm.maxv=G247,"Support"))))</f>
        <v/>
      </c>
      <c r="J247" t="str">
        <f t="shared" si="19"/>
        <v/>
      </c>
      <c r="K247" s="10" t="str">
        <f t="shared" si="20"/>
        <v/>
      </c>
    </row>
    <row r="248" spans="2:11" x14ac:dyDescent="0.25">
      <c r="B248">
        <v>2467</v>
      </c>
      <c r="H248">
        <f t="shared" si="18"/>
        <v>0</v>
      </c>
      <c r="I248" s="9" t="str" cm="1">
        <f t="array" ref="I248">_xlfn.LET(_xlpm.total,SUM(D248:G248),_xlpm.maxv,MAX(D248:G248),IF(_xlpm.total=0,"",IF(_xlpm.maxv/_xlpm.total&lt;0.5,"Mixed-Class",_xlfn.IFS(_xlpm.maxv=D248,"Assault",_xlpm.maxv=E248,"Engineer",_xlpm.maxv=F248,"Recon",_xlpm.maxv=G248,"Support"))))</f>
        <v/>
      </c>
      <c r="J248" t="str">
        <f t="shared" si="19"/>
        <v/>
      </c>
      <c r="K248" s="10" t="str">
        <f t="shared" si="20"/>
        <v/>
      </c>
    </row>
    <row r="249" spans="2:11" x14ac:dyDescent="0.25">
      <c r="B249">
        <v>2477</v>
      </c>
      <c r="H249">
        <f t="shared" si="18"/>
        <v>0</v>
      </c>
      <c r="I249" s="9" t="str" cm="1">
        <f t="array" ref="I249">_xlfn.LET(_xlpm.total,SUM(D249:G249),_xlpm.maxv,MAX(D249:G249),IF(_xlpm.total=0,"",IF(_xlpm.maxv/_xlpm.total&lt;0.5,"Mixed-Class",_xlfn.IFS(_xlpm.maxv=D249,"Assault",_xlpm.maxv=E249,"Engineer",_xlpm.maxv=F249,"Recon",_xlpm.maxv=G249,"Support"))))</f>
        <v/>
      </c>
      <c r="J249" t="str">
        <f t="shared" si="19"/>
        <v/>
      </c>
      <c r="K249" s="10" t="str">
        <f t="shared" si="20"/>
        <v/>
      </c>
    </row>
    <row r="250" spans="2:11" x14ac:dyDescent="0.25">
      <c r="B250">
        <v>2487</v>
      </c>
      <c r="H250">
        <f t="shared" si="18"/>
        <v>0</v>
      </c>
      <c r="I250" s="9" t="str" cm="1">
        <f t="array" ref="I250">_xlfn.LET(_xlpm.total,SUM(D250:G250),_xlpm.maxv,MAX(D250:G250),IF(_xlpm.total=0,"",IF(_xlpm.maxv/_xlpm.total&lt;0.5,"Mixed-Class",_xlfn.IFS(_xlpm.maxv=D250,"Assault",_xlpm.maxv=E250,"Engineer",_xlpm.maxv=F250,"Recon",_xlpm.maxv=G250,"Support"))))</f>
        <v/>
      </c>
      <c r="J250" t="str">
        <f t="shared" si="19"/>
        <v/>
      </c>
      <c r="K250" s="10" t="str">
        <f t="shared" si="20"/>
        <v/>
      </c>
    </row>
    <row r="251" spans="2:11" x14ac:dyDescent="0.25">
      <c r="B251">
        <v>2497</v>
      </c>
      <c r="H251">
        <f t="shared" si="18"/>
        <v>0</v>
      </c>
      <c r="I251" s="9" t="str" cm="1">
        <f t="array" ref="I251">_xlfn.LET(_xlpm.total,SUM(D251:G251),_xlpm.maxv,MAX(D251:G251),IF(_xlpm.total=0,"",IF(_xlpm.maxv/_xlpm.total&lt;0.5,"Mixed-Class",_xlfn.IFS(_xlpm.maxv=D251,"Assault",_xlpm.maxv=E251,"Engineer",_xlpm.maxv=F251,"Recon",_xlpm.maxv=G251,"Support"))))</f>
        <v/>
      </c>
      <c r="J251" t="str">
        <f t="shared" si="19"/>
        <v/>
      </c>
      <c r="K251" s="10" t="str">
        <f t="shared" si="20"/>
        <v/>
      </c>
    </row>
    <row r="252" spans="2:11" x14ac:dyDescent="0.25">
      <c r="B252">
        <v>2507</v>
      </c>
      <c r="H252">
        <f t="shared" si="18"/>
        <v>0</v>
      </c>
      <c r="I252" s="9" t="str" cm="1">
        <f t="array" ref="I252">_xlfn.LET(_xlpm.total,SUM(D252:G252),_xlpm.maxv,MAX(D252:G252),IF(_xlpm.total=0,"",IF(_xlpm.maxv/_xlpm.total&lt;0.5,"Mixed-Class",_xlfn.IFS(_xlpm.maxv=D252,"Assault",_xlpm.maxv=E252,"Engineer",_xlpm.maxv=F252,"Recon",_xlpm.maxv=G252,"Support"))))</f>
        <v/>
      </c>
      <c r="J252" t="str">
        <f t="shared" si="19"/>
        <v/>
      </c>
      <c r="K252" s="10" t="str">
        <f t="shared" si="20"/>
        <v/>
      </c>
    </row>
    <row r="253" spans="2:11" x14ac:dyDescent="0.25">
      <c r="B253">
        <v>2517</v>
      </c>
      <c r="H253">
        <f t="shared" si="18"/>
        <v>0</v>
      </c>
      <c r="I253" s="9" t="str" cm="1">
        <f t="array" ref="I253">_xlfn.LET(_xlpm.total,SUM(D253:G253),_xlpm.maxv,MAX(D253:G253),IF(_xlpm.total=0,"",IF(_xlpm.maxv/_xlpm.total&lt;0.5,"Mixed-Class",_xlfn.IFS(_xlpm.maxv=D253,"Assault",_xlpm.maxv=E253,"Engineer",_xlpm.maxv=F253,"Recon",_xlpm.maxv=G253,"Support"))))</f>
        <v/>
      </c>
      <c r="J253" t="str">
        <f t="shared" si="19"/>
        <v/>
      </c>
      <c r="K253" s="10" t="str">
        <f t="shared" si="20"/>
        <v/>
      </c>
    </row>
    <row r="254" spans="2:11" x14ac:dyDescent="0.25">
      <c r="B254">
        <v>2527</v>
      </c>
      <c r="H254">
        <f t="shared" si="18"/>
        <v>0</v>
      </c>
      <c r="I254" s="9" t="str" cm="1">
        <f t="array" ref="I254">_xlfn.LET(_xlpm.total,SUM(D254:G254),_xlpm.maxv,MAX(D254:G254),IF(_xlpm.total=0,"",IF(_xlpm.maxv/_xlpm.total&lt;0.5,"Mixed-Class",_xlfn.IFS(_xlpm.maxv=D254,"Assault",_xlpm.maxv=E254,"Engineer",_xlpm.maxv=F254,"Recon",_xlpm.maxv=G254,"Support"))))</f>
        <v/>
      </c>
      <c r="J254" t="str">
        <f t="shared" si="19"/>
        <v/>
      </c>
      <c r="K254" s="10" t="str">
        <f t="shared" si="20"/>
        <v/>
      </c>
    </row>
    <row r="255" spans="2:11" x14ac:dyDescent="0.25">
      <c r="B255">
        <v>2537</v>
      </c>
      <c r="H255">
        <f t="shared" si="18"/>
        <v>0</v>
      </c>
      <c r="I255" s="9" t="str" cm="1">
        <f t="array" ref="I255">_xlfn.LET(_xlpm.total,SUM(D255:G255),_xlpm.maxv,MAX(D255:G255),IF(_xlpm.total=0,"",IF(_xlpm.maxv/_xlpm.total&lt;0.5,"Mixed-Class",_xlfn.IFS(_xlpm.maxv=D255,"Assault",_xlpm.maxv=E255,"Engineer",_xlpm.maxv=F255,"Recon",_xlpm.maxv=G255,"Support"))))</f>
        <v/>
      </c>
      <c r="J255" t="str">
        <f t="shared" si="19"/>
        <v/>
      </c>
      <c r="K255" s="10" t="str">
        <f t="shared" si="20"/>
        <v/>
      </c>
    </row>
    <row r="256" spans="2:11" x14ac:dyDescent="0.25">
      <c r="B256">
        <v>2547</v>
      </c>
      <c r="H256">
        <f t="shared" si="18"/>
        <v>0</v>
      </c>
      <c r="I256" s="9" t="str" cm="1">
        <f t="array" ref="I256">_xlfn.LET(_xlpm.total,SUM(D256:G256),_xlpm.maxv,MAX(D256:G256),IF(_xlpm.total=0,"",IF(_xlpm.maxv/_xlpm.total&lt;0.5,"Mixed-Class",_xlfn.IFS(_xlpm.maxv=D256,"Assault",_xlpm.maxv=E256,"Engineer",_xlpm.maxv=F256,"Recon",_xlpm.maxv=G256,"Support"))))</f>
        <v/>
      </c>
      <c r="J256" t="str">
        <f t="shared" si="19"/>
        <v/>
      </c>
      <c r="K256" s="10" t="str">
        <f t="shared" si="20"/>
        <v/>
      </c>
    </row>
    <row r="257" spans="2:11" x14ac:dyDescent="0.25">
      <c r="B257">
        <v>2557</v>
      </c>
      <c r="H257">
        <f t="shared" si="18"/>
        <v>0</v>
      </c>
      <c r="I257" s="9" t="str" cm="1">
        <f t="array" ref="I257">_xlfn.LET(_xlpm.total,SUM(D257:G257),_xlpm.maxv,MAX(D257:G257),IF(_xlpm.total=0,"",IF(_xlpm.maxv/_xlpm.total&lt;0.5,"Mixed-Class",_xlfn.IFS(_xlpm.maxv=D257,"Assault",_xlpm.maxv=E257,"Engineer",_xlpm.maxv=F257,"Recon",_xlpm.maxv=G257,"Support"))))</f>
        <v/>
      </c>
      <c r="J257" t="str">
        <f t="shared" si="19"/>
        <v/>
      </c>
      <c r="K257" s="10" t="str">
        <f t="shared" si="20"/>
        <v/>
      </c>
    </row>
    <row r="258" spans="2:11" x14ac:dyDescent="0.25">
      <c r="B258">
        <v>2567</v>
      </c>
      <c r="H258">
        <f t="shared" si="18"/>
        <v>0</v>
      </c>
      <c r="I258" s="9" t="str" cm="1">
        <f t="array" ref="I258">_xlfn.LET(_xlpm.total,SUM(D258:G258),_xlpm.maxv,MAX(D258:G258),IF(_xlpm.total=0,"",IF(_xlpm.maxv/_xlpm.total&lt;0.5,"Mixed-Class",_xlfn.IFS(_xlpm.maxv=D258,"Assault",_xlpm.maxv=E258,"Engineer",_xlpm.maxv=F258,"Recon",_xlpm.maxv=G258,"Support"))))</f>
        <v/>
      </c>
      <c r="J258" t="str">
        <f t="shared" si="19"/>
        <v/>
      </c>
      <c r="K258" s="10" t="str">
        <f t="shared" si="20"/>
        <v/>
      </c>
    </row>
    <row r="259" spans="2:11" x14ac:dyDescent="0.25">
      <c r="B259">
        <v>2577</v>
      </c>
      <c r="H259">
        <f t="shared" ref="H259:H322" si="21">SUM(D259:G259)</f>
        <v>0</v>
      </c>
      <c r="I259" s="9" t="str" cm="1">
        <f t="array" ref="I259">_xlfn.LET(_xlpm.total,SUM(D259:G259),_xlpm.maxv,MAX(D259:G259),IF(_xlpm.total=0,"",IF(_xlpm.maxv/_xlpm.total&lt;0.5,"Mixed-Class",_xlfn.IFS(_xlpm.maxv=D259,"Assault",_xlpm.maxv=E259,"Engineer",_xlpm.maxv=F259,"Recon",_xlpm.maxv=G259,"Support"))))</f>
        <v/>
      </c>
      <c r="J259" t="str">
        <f t="shared" ref="J259:J322" si="22">_xlfn.LET(_xlpm.total,SUM(D259:G259),IF(_xlpm.total=0,"",MAX(D259:G259)/_xlpm.total&gt;=0.5))</f>
        <v/>
      </c>
      <c r="K259" s="10" t="str">
        <f t="shared" ref="K259:K322" si="23">_xlfn.LET(_xlpm.total,SUM(D259:G259),IF(_xlpm.total=0,"",MAX(D259:G259)/_xlpm.total))</f>
        <v/>
      </c>
    </row>
    <row r="260" spans="2:11" x14ac:dyDescent="0.25">
      <c r="B260">
        <v>2587</v>
      </c>
      <c r="H260">
        <f t="shared" si="21"/>
        <v>0</v>
      </c>
      <c r="I260" s="9" t="str" cm="1">
        <f t="array" ref="I260">_xlfn.LET(_xlpm.total,SUM(D260:G260),_xlpm.maxv,MAX(D260:G260),IF(_xlpm.total=0,"",IF(_xlpm.maxv/_xlpm.total&lt;0.5,"Mixed-Class",_xlfn.IFS(_xlpm.maxv=D260,"Assault",_xlpm.maxv=E260,"Engineer",_xlpm.maxv=F260,"Recon",_xlpm.maxv=G260,"Support"))))</f>
        <v/>
      </c>
      <c r="J260" t="str">
        <f t="shared" si="22"/>
        <v/>
      </c>
      <c r="K260" s="10" t="str">
        <f t="shared" si="23"/>
        <v/>
      </c>
    </row>
    <row r="261" spans="2:11" x14ac:dyDescent="0.25">
      <c r="B261">
        <v>2597</v>
      </c>
      <c r="H261">
        <f t="shared" si="21"/>
        <v>0</v>
      </c>
      <c r="I261" s="9" t="str" cm="1">
        <f t="array" ref="I261">_xlfn.LET(_xlpm.total,SUM(D261:G261),_xlpm.maxv,MAX(D261:G261),IF(_xlpm.total=0,"",IF(_xlpm.maxv/_xlpm.total&lt;0.5,"Mixed-Class",_xlfn.IFS(_xlpm.maxv=D261,"Assault",_xlpm.maxv=E261,"Engineer",_xlpm.maxv=F261,"Recon",_xlpm.maxv=G261,"Support"))))</f>
        <v/>
      </c>
      <c r="J261" t="str">
        <f t="shared" si="22"/>
        <v/>
      </c>
      <c r="K261" s="10" t="str">
        <f t="shared" si="23"/>
        <v/>
      </c>
    </row>
    <row r="262" spans="2:11" x14ac:dyDescent="0.25">
      <c r="B262">
        <v>2607</v>
      </c>
      <c r="H262">
        <f t="shared" si="21"/>
        <v>0</v>
      </c>
      <c r="I262" s="9" t="str" cm="1">
        <f t="array" ref="I262">_xlfn.LET(_xlpm.total,SUM(D262:G262),_xlpm.maxv,MAX(D262:G262),IF(_xlpm.total=0,"",IF(_xlpm.maxv/_xlpm.total&lt;0.5,"Mixed-Class",_xlfn.IFS(_xlpm.maxv=D262,"Assault",_xlpm.maxv=E262,"Engineer",_xlpm.maxv=F262,"Recon",_xlpm.maxv=G262,"Support"))))</f>
        <v/>
      </c>
      <c r="J262" t="str">
        <f t="shared" si="22"/>
        <v/>
      </c>
      <c r="K262" s="10" t="str">
        <f t="shared" si="23"/>
        <v/>
      </c>
    </row>
    <row r="263" spans="2:11" x14ac:dyDescent="0.25">
      <c r="B263">
        <v>2617</v>
      </c>
      <c r="H263">
        <f t="shared" si="21"/>
        <v>0</v>
      </c>
      <c r="I263" s="9" t="str" cm="1">
        <f t="array" ref="I263">_xlfn.LET(_xlpm.total,SUM(D263:G263),_xlpm.maxv,MAX(D263:G263),IF(_xlpm.total=0,"",IF(_xlpm.maxv/_xlpm.total&lt;0.5,"Mixed-Class",_xlfn.IFS(_xlpm.maxv=D263,"Assault",_xlpm.maxv=E263,"Engineer",_xlpm.maxv=F263,"Recon",_xlpm.maxv=G263,"Support"))))</f>
        <v/>
      </c>
      <c r="J263" t="str">
        <f t="shared" si="22"/>
        <v/>
      </c>
      <c r="K263" s="10" t="str">
        <f t="shared" si="23"/>
        <v/>
      </c>
    </row>
    <row r="264" spans="2:11" x14ac:dyDescent="0.25">
      <c r="B264">
        <v>2627</v>
      </c>
      <c r="H264">
        <f t="shared" si="21"/>
        <v>0</v>
      </c>
      <c r="I264" s="9" t="str" cm="1">
        <f t="array" ref="I264">_xlfn.LET(_xlpm.total,SUM(D264:G264),_xlpm.maxv,MAX(D264:G264),IF(_xlpm.total=0,"",IF(_xlpm.maxv/_xlpm.total&lt;0.5,"Mixed-Class",_xlfn.IFS(_xlpm.maxv=D264,"Assault",_xlpm.maxv=E264,"Engineer",_xlpm.maxv=F264,"Recon",_xlpm.maxv=G264,"Support"))))</f>
        <v/>
      </c>
      <c r="J264" t="str">
        <f t="shared" si="22"/>
        <v/>
      </c>
      <c r="K264" s="10" t="str">
        <f t="shared" si="23"/>
        <v/>
      </c>
    </row>
    <row r="265" spans="2:11" x14ac:dyDescent="0.25">
      <c r="B265">
        <v>2637</v>
      </c>
      <c r="H265">
        <f t="shared" si="21"/>
        <v>0</v>
      </c>
      <c r="I265" s="9" t="str" cm="1">
        <f t="array" ref="I265">_xlfn.LET(_xlpm.total,SUM(D265:G265),_xlpm.maxv,MAX(D265:G265),IF(_xlpm.total=0,"",IF(_xlpm.maxv/_xlpm.total&lt;0.5,"Mixed-Class",_xlfn.IFS(_xlpm.maxv=D265,"Assault",_xlpm.maxv=E265,"Engineer",_xlpm.maxv=F265,"Recon",_xlpm.maxv=G265,"Support"))))</f>
        <v/>
      </c>
      <c r="J265" t="str">
        <f t="shared" si="22"/>
        <v/>
      </c>
      <c r="K265" s="10" t="str">
        <f t="shared" si="23"/>
        <v/>
      </c>
    </row>
    <row r="266" spans="2:11" x14ac:dyDescent="0.25">
      <c r="B266">
        <v>2647</v>
      </c>
      <c r="H266">
        <f t="shared" si="21"/>
        <v>0</v>
      </c>
      <c r="I266" s="9" t="str" cm="1">
        <f t="array" ref="I266">_xlfn.LET(_xlpm.total,SUM(D266:G266),_xlpm.maxv,MAX(D266:G266),IF(_xlpm.total=0,"",IF(_xlpm.maxv/_xlpm.total&lt;0.5,"Mixed-Class",_xlfn.IFS(_xlpm.maxv=D266,"Assault",_xlpm.maxv=E266,"Engineer",_xlpm.maxv=F266,"Recon",_xlpm.maxv=G266,"Support"))))</f>
        <v/>
      </c>
      <c r="J266" t="str">
        <f t="shared" si="22"/>
        <v/>
      </c>
      <c r="K266" s="10" t="str">
        <f t="shared" si="23"/>
        <v/>
      </c>
    </row>
    <row r="267" spans="2:11" x14ac:dyDescent="0.25">
      <c r="B267">
        <v>2657</v>
      </c>
      <c r="H267">
        <f t="shared" si="21"/>
        <v>0</v>
      </c>
      <c r="I267" s="9" t="str" cm="1">
        <f t="array" ref="I267">_xlfn.LET(_xlpm.total,SUM(D267:G267),_xlpm.maxv,MAX(D267:G267),IF(_xlpm.total=0,"",IF(_xlpm.maxv/_xlpm.total&lt;0.5,"Mixed-Class",_xlfn.IFS(_xlpm.maxv=D267,"Assault",_xlpm.maxv=E267,"Engineer",_xlpm.maxv=F267,"Recon",_xlpm.maxv=G267,"Support"))))</f>
        <v/>
      </c>
      <c r="J267" t="str">
        <f t="shared" si="22"/>
        <v/>
      </c>
      <c r="K267" s="10" t="str">
        <f t="shared" si="23"/>
        <v/>
      </c>
    </row>
    <row r="268" spans="2:11" x14ac:dyDescent="0.25">
      <c r="B268">
        <v>2667</v>
      </c>
      <c r="H268">
        <f t="shared" si="21"/>
        <v>0</v>
      </c>
      <c r="I268" s="9" t="str" cm="1">
        <f t="array" ref="I268">_xlfn.LET(_xlpm.total,SUM(D268:G268),_xlpm.maxv,MAX(D268:G268),IF(_xlpm.total=0,"",IF(_xlpm.maxv/_xlpm.total&lt;0.5,"Mixed-Class",_xlfn.IFS(_xlpm.maxv=D268,"Assault",_xlpm.maxv=E268,"Engineer",_xlpm.maxv=F268,"Recon",_xlpm.maxv=G268,"Support"))))</f>
        <v/>
      </c>
      <c r="J268" t="str">
        <f t="shared" si="22"/>
        <v/>
      </c>
      <c r="K268" s="10" t="str">
        <f t="shared" si="23"/>
        <v/>
      </c>
    </row>
    <row r="269" spans="2:11" x14ac:dyDescent="0.25">
      <c r="B269">
        <v>2677</v>
      </c>
      <c r="H269">
        <f t="shared" si="21"/>
        <v>0</v>
      </c>
      <c r="I269" s="9" t="str" cm="1">
        <f t="array" ref="I269">_xlfn.LET(_xlpm.total,SUM(D269:G269),_xlpm.maxv,MAX(D269:G269),IF(_xlpm.total=0,"",IF(_xlpm.maxv/_xlpm.total&lt;0.5,"Mixed-Class",_xlfn.IFS(_xlpm.maxv=D269,"Assault",_xlpm.maxv=E269,"Engineer",_xlpm.maxv=F269,"Recon",_xlpm.maxv=G269,"Support"))))</f>
        <v/>
      </c>
      <c r="J269" t="str">
        <f t="shared" si="22"/>
        <v/>
      </c>
      <c r="K269" s="10" t="str">
        <f t="shared" si="23"/>
        <v/>
      </c>
    </row>
    <row r="270" spans="2:11" x14ac:dyDescent="0.25">
      <c r="B270">
        <v>2687</v>
      </c>
      <c r="H270">
        <f t="shared" si="21"/>
        <v>0</v>
      </c>
      <c r="I270" s="9" t="str" cm="1">
        <f t="array" ref="I270">_xlfn.LET(_xlpm.total,SUM(D270:G270),_xlpm.maxv,MAX(D270:G270),IF(_xlpm.total=0,"",IF(_xlpm.maxv/_xlpm.total&lt;0.5,"Mixed-Class",_xlfn.IFS(_xlpm.maxv=D270,"Assault",_xlpm.maxv=E270,"Engineer",_xlpm.maxv=F270,"Recon",_xlpm.maxv=G270,"Support"))))</f>
        <v/>
      </c>
      <c r="J270" t="str">
        <f t="shared" si="22"/>
        <v/>
      </c>
      <c r="K270" s="10" t="str">
        <f t="shared" si="23"/>
        <v/>
      </c>
    </row>
    <row r="271" spans="2:11" x14ac:dyDescent="0.25">
      <c r="B271">
        <v>2697</v>
      </c>
      <c r="H271">
        <f t="shared" si="21"/>
        <v>0</v>
      </c>
      <c r="I271" s="9" t="str" cm="1">
        <f t="array" ref="I271">_xlfn.LET(_xlpm.total,SUM(D271:G271),_xlpm.maxv,MAX(D271:G271),IF(_xlpm.total=0,"",IF(_xlpm.maxv/_xlpm.total&lt;0.5,"Mixed-Class",_xlfn.IFS(_xlpm.maxv=D271,"Assault",_xlpm.maxv=E271,"Engineer",_xlpm.maxv=F271,"Recon",_xlpm.maxv=G271,"Support"))))</f>
        <v/>
      </c>
      <c r="J271" t="str">
        <f t="shared" si="22"/>
        <v/>
      </c>
      <c r="K271" s="10" t="str">
        <f t="shared" si="23"/>
        <v/>
      </c>
    </row>
    <row r="272" spans="2:11" x14ac:dyDescent="0.25">
      <c r="B272">
        <v>2707</v>
      </c>
      <c r="H272">
        <f t="shared" si="21"/>
        <v>0</v>
      </c>
      <c r="I272" s="9" t="str" cm="1">
        <f t="array" ref="I272">_xlfn.LET(_xlpm.total,SUM(D272:G272),_xlpm.maxv,MAX(D272:G272),IF(_xlpm.total=0,"",IF(_xlpm.maxv/_xlpm.total&lt;0.5,"Mixed-Class",_xlfn.IFS(_xlpm.maxv=D272,"Assault",_xlpm.maxv=E272,"Engineer",_xlpm.maxv=F272,"Recon",_xlpm.maxv=G272,"Support"))))</f>
        <v/>
      </c>
      <c r="J272" t="str">
        <f t="shared" si="22"/>
        <v/>
      </c>
      <c r="K272" s="10" t="str">
        <f t="shared" si="23"/>
        <v/>
      </c>
    </row>
    <row r="273" spans="2:11" x14ac:dyDescent="0.25">
      <c r="B273">
        <v>2717</v>
      </c>
      <c r="H273">
        <f t="shared" si="21"/>
        <v>0</v>
      </c>
      <c r="I273" s="9" t="str" cm="1">
        <f t="array" ref="I273">_xlfn.LET(_xlpm.total,SUM(D273:G273),_xlpm.maxv,MAX(D273:G273),IF(_xlpm.total=0,"",IF(_xlpm.maxv/_xlpm.total&lt;0.5,"Mixed-Class",_xlfn.IFS(_xlpm.maxv=D273,"Assault",_xlpm.maxv=E273,"Engineer",_xlpm.maxv=F273,"Recon",_xlpm.maxv=G273,"Support"))))</f>
        <v/>
      </c>
      <c r="J273" t="str">
        <f t="shared" si="22"/>
        <v/>
      </c>
      <c r="K273" s="10" t="str">
        <f t="shared" si="23"/>
        <v/>
      </c>
    </row>
    <row r="274" spans="2:11" x14ac:dyDescent="0.25">
      <c r="B274">
        <v>2727</v>
      </c>
      <c r="H274">
        <f t="shared" si="21"/>
        <v>0</v>
      </c>
      <c r="I274" s="9" t="str" cm="1">
        <f t="array" ref="I274">_xlfn.LET(_xlpm.total,SUM(D274:G274),_xlpm.maxv,MAX(D274:G274),IF(_xlpm.total=0,"",IF(_xlpm.maxv/_xlpm.total&lt;0.5,"Mixed-Class",_xlfn.IFS(_xlpm.maxv=D274,"Assault",_xlpm.maxv=E274,"Engineer",_xlpm.maxv=F274,"Recon",_xlpm.maxv=G274,"Support"))))</f>
        <v/>
      </c>
      <c r="J274" t="str">
        <f t="shared" si="22"/>
        <v/>
      </c>
      <c r="K274" s="10" t="str">
        <f t="shared" si="23"/>
        <v/>
      </c>
    </row>
    <row r="275" spans="2:11" x14ac:dyDescent="0.25">
      <c r="B275">
        <v>2737</v>
      </c>
      <c r="H275">
        <f t="shared" si="21"/>
        <v>0</v>
      </c>
      <c r="I275" s="9" t="str" cm="1">
        <f t="array" ref="I275">_xlfn.LET(_xlpm.total,SUM(D275:G275),_xlpm.maxv,MAX(D275:G275),IF(_xlpm.total=0,"",IF(_xlpm.maxv/_xlpm.total&lt;0.5,"Mixed-Class",_xlfn.IFS(_xlpm.maxv=D275,"Assault",_xlpm.maxv=E275,"Engineer",_xlpm.maxv=F275,"Recon",_xlpm.maxv=G275,"Support"))))</f>
        <v/>
      </c>
      <c r="J275" t="str">
        <f t="shared" si="22"/>
        <v/>
      </c>
      <c r="K275" s="10" t="str">
        <f t="shared" si="23"/>
        <v/>
      </c>
    </row>
    <row r="276" spans="2:11" x14ac:dyDescent="0.25">
      <c r="B276">
        <v>2747</v>
      </c>
      <c r="H276">
        <f t="shared" si="21"/>
        <v>0</v>
      </c>
      <c r="I276" s="9" t="str" cm="1">
        <f t="array" ref="I276">_xlfn.LET(_xlpm.total,SUM(D276:G276),_xlpm.maxv,MAX(D276:G276),IF(_xlpm.total=0,"",IF(_xlpm.maxv/_xlpm.total&lt;0.5,"Mixed-Class",_xlfn.IFS(_xlpm.maxv=D276,"Assault",_xlpm.maxv=E276,"Engineer",_xlpm.maxv=F276,"Recon",_xlpm.maxv=G276,"Support"))))</f>
        <v/>
      </c>
      <c r="J276" t="str">
        <f t="shared" si="22"/>
        <v/>
      </c>
      <c r="K276" s="10" t="str">
        <f t="shared" si="23"/>
        <v/>
      </c>
    </row>
    <row r="277" spans="2:11" x14ac:dyDescent="0.25">
      <c r="B277">
        <v>2757</v>
      </c>
      <c r="H277">
        <f t="shared" si="21"/>
        <v>0</v>
      </c>
      <c r="I277" s="9" t="str" cm="1">
        <f t="array" ref="I277">_xlfn.LET(_xlpm.total,SUM(D277:G277),_xlpm.maxv,MAX(D277:G277),IF(_xlpm.total=0,"",IF(_xlpm.maxv/_xlpm.total&lt;0.5,"Mixed-Class",_xlfn.IFS(_xlpm.maxv=D277,"Assault",_xlpm.maxv=E277,"Engineer",_xlpm.maxv=F277,"Recon",_xlpm.maxv=G277,"Support"))))</f>
        <v/>
      </c>
      <c r="J277" t="str">
        <f t="shared" si="22"/>
        <v/>
      </c>
      <c r="K277" s="10" t="str">
        <f t="shared" si="23"/>
        <v/>
      </c>
    </row>
    <row r="278" spans="2:11" x14ac:dyDescent="0.25">
      <c r="B278">
        <v>2767</v>
      </c>
      <c r="H278">
        <f t="shared" si="21"/>
        <v>0</v>
      </c>
      <c r="I278" s="9" t="str" cm="1">
        <f t="array" ref="I278">_xlfn.LET(_xlpm.total,SUM(D278:G278),_xlpm.maxv,MAX(D278:G278),IF(_xlpm.total=0,"",IF(_xlpm.maxv/_xlpm.total&lt;0.5,"Mixed-Class",_xlfn.IFS(_xlpm.maxv=D278,"Assault",_xlpm.maxv=E278,"Engineer",_xlpm.maxv=F278,"Recon",_xlpm.maxv=G278,"Support"))))</f>
        <v/>
      </c>
      <c r="J278" t="str">
        <f t="shared" si="22"/>
        <v/>
      </c>
      <c r="K278" s="10" t="str">
        <f t="shared" si="23"/>
        <v/>
      </c>
    </row>
    <row r="279" spans="2:11" x14ac:dyDescent="0.25">
      <c r="B279">
        <v>2777</v>
      </c>
      <c r="H279">
        <f t="shared" si="21"/>
        <v>0</v>
      </c>
      <c r="I279" s="9" t="str" cm="1">
        <f t="array" ref="I279">_xlfn.LET(_xlpm.total,SUM(D279:G279),_xlpm.maxv,MAX(D279:G279),IF(_xlpm.total=0,"",IF(_xlpm.maxv/_xlpm.total&lt;0.5,"Mixed-Class",_xlfn.IFS(_xlpm.maxv=D279,"Assault",_xlpm.maxv=E279,"Engineer",_xlpm.maxv=F279,"Recon",_xlpm.maxv=G279,"Support"))))</f>
        <v/>
      </c>
      <c r="J279" t="str">
        <f t="shared" si="22"/>
        <v/>
      </c>
      <c r="K279" s="10" t="str">
        <f t="shared" si="23"/>
        <v/>
      </c>
    </row>
    <row r="280" spans="2:11" x14ac:dyDescent="0.25">
      <c r="B280">
        <v>2787</v>
      </c>
      <c r="H280">
        <f t="shared" si="21"/>
        <v>0</v>
      </c>
      <c r="I280" s="9" t="str" cm="1">
        <f t="array" ref="I280">_xlfn.LET(_xlpm.total,SUM(D280:G280),_xlpm.maxv,MAX(D280:G280),IF(_xlpm.total=0,"",IF(_xlpm.maxv/_xlpm.total&lt;0.5,"Mixed-Class",_xlfn.IFS(_xlpm.maxv=D280,"Assault",_xlpm.maxv=E280,"Engineer",_xlpm.maxv=F280,"Recon",_xlpm.maxv=G280,"Support"))))</f>
        <v/>
      </c>
      <c r="J280" t="str">
        <f t="shared" si="22"/>
        <v/>
      </c>
      <c r="K280" s="10" t="str">
        <f t="shared" si="23"/>
        <v/>
      </c>
    </row>
    <row r="281" spans="2:11" x14ac:dyDescent="0.25">
      <c r="B281">
        <v>2797</v>
      </c>
      <c r="H281">
        <f t="shared" si="21"/>
        <v>0</v>
      </c>
      <c r="I281" s="9" t="str" cm="1">
        <f t="array" ref="I281">_xlfn.LET(_xlpm.total,SUM(D281:G281),_xlpm.maxv,MAX(D281:G281),IF(_xlpm.total=0,"",IF(_xlpm.maxv/_xlpm.total&lt;0.5,"Mixed-Class",_xlfn.IFS(_xlpm.maxv=D281,"Assault",_xlpm.maxv=E281,"Engineer",_xlpm.maxv=F281,"Recon",_xlpm.maxv=G281,"Support"))))</f>
        <v/>
      </c>
      <c r="J281" t="str">
        <f t="shared" si="22"/>
        <v/>
      </c>
      <c r="K281" s="10" t="str">
        <f t="shared" si="23"/>
        <v/>
      </c>
    </row>
    <row r="282" spans="2:11" x14ac:dyDescent="0.25">
      <c r="B282">
        <v>2807</v>
      </c>
      <c r="H282">
        <f t="shared" si="21"/>
        <v>0</v>
      </c>
      <c r="I282" s="9" t="str" cm="1">
        <f t="array" ref="I282">_xlfn.LET(_xlpm.total,SUM(D282:G282),_xlpm.maxv,MAX(D282:G282),IF(_xlpm.total=0,"",IF(_xlpm.maxv/_xlpm.total&lt;0.5,"Mixed-Class",_xlfn.IFS(_xlpm.maxv=D282,"Assault",_xlpm.maxv=E282,"Engineer",_xlpm.maxv=F282,"Recon",_xlpm.maxv=G282,"Support"))))</f>
        <v/>
      </c>
      <c r="J282" t="str">
        <f t="shared" si="22"/>
        <v/>
      </c>
      <c r="K282" s="10" t="str">
        <f t="shared" si="23"/>
        <v/>
      </c>
    </row>
    <row r="283" spans="2:11" x14ac:dyDescent="0.25">
      <c r="B283">
        <v>2817</v>
      </c>
      <c r="H283">
        <f t="shared" si="21"/>
        <v>0</v>
      </c>
      <c r="I283" s="9" t="str" cm="1">
        <f t="array" ref="I283">_xlfn.LET(_xlpm.total,SUM(D283:G283),_xlpm.maxv,MAX(D283:G283),IF(_xlpm.total=0,"",IF(_xlpm.maxv/_xlpm.total&lt;0.5,"Mixed-Class",_xlfn.IFS(_xlpm.maxv=D283,"Assault",_xlpm.maxv=E283,"Engineer",_xlpm.maxv=F283,"Recon",_xlpm.maxv=G283,"Support"))))</f>
        <v/>
      </c>
      <c r="J283" t="str">
        <f t="shared" si="22"/>
        <v/>
      </c>
      <c r="K283" s="10" t="str">
        <f t="shared" si="23"/>
        <v/>
      </c>
    </row>
    <row r="284" spans="2:11" x14ac:dyDescent="0.25">
      <c r="B284">
        <v>2827</v>
      </c>
      <c r="H284">
        <f t="shared" si="21"/>
        <v>0</v>
      </c>
      <c r="I284" s="9" t="str" cm="1">
        <f t="array" ref="I284">_xlfn.LET(_xlpm.total,SUM(D284:G284),_xlpm.maxv,MAX(D284:G284),IF(_xlpm.total=0,"",IF(_xlpm.maxv/_xlpm.total&lt;0.5,"Mixed-Class",_xlfn.IFS(_xlpm.maxv=D284,"Assault",_xlpm.maxv=E284,"Engineer",_xlpm.maxv=F284,"Recon",_xlpm.maxv=G284,"Support"))))</f>
        <v/>
      </c>
      <c r="J284" t="str">
        <f t="shared" si="22"/>
        <v/>
      </c>
      <c r="K284" s="10" t="str">
        <f t="shared" si="23"/>
        <v/>
      </c>
    </row>
    <row r="285" spans="2:11" x14ac:dyDescent="0.25">
      <c r="B285">
        <v>2837</v>
      </c>
      <c r="H285">
        <f t="shared" si="21"/>
        <v>0</v>
      </c>
      <c r="I285" s="9" t="str" cm="1">
        <f t="array" ref="I285">_xlfn.LET(_xlpm.total,SUM(D285:G285),_xlpm.maxv,MAX(D285:G285),IF(_xlpm.total=0,"",IF(_xlpm.maxv/_xlpm.total&lt;0.5,"Mixed-Class",_xlfn.IFS(_xlpm.maxv=D285,"Assault",_xlpm.maxv=E285,"Engineer",_xlpm.maxv=F285,"Recon",_xlpm.maxv=G285,"Support"))))</f>
        <v/>
      </c>
      <c r="J285" t="str">
        <f t="shared" si="22"/>
        <v/>
      </c>
      <c r="K285" s="10" t="str">
        <f t="shared" si="23"/>
        <v/>
      </c>
    </row>
    <row r="286" spans="2:11" x14ac:dyDescent="0.25">
      <c r="B286">
        <v>2847</v>
      </c>
      <c r="H286">
        <f t="shared" si="21"/>
        <v>0</v>
      </c>
      <c r="I286" s="9" t="str" cm="1">
        <f t="array" ref="I286">_xlfn.LET(_xlpm.total,SUM(D286:G286),_xlpm.maxv,MAX(D286:G286),IF(_xlpm.total=0,"",IF(_xlpm.maxv/_xlpm.total&lt;0.5,"Mixed-Class",_xlfn.IFS(_xlpm.maxv=D286,"Assault",_xlpm.maxv=E286,"Engineer",_xlpm.maxv=F286,"Recon",_xlpm.maxv=G286,"Support"))))</f>
        <v/>
      </c>
      <c r="J286" t="str">
        <f t="shared" si="22"/>
        <v/>
      </c>
      <c r="K286" s="10" t="str">
        <f t="shared" si="23"/>
        <v/>
      </c>
    </row>
    <row r="287" spans="2:11" x14ac:dyDescent="0.25">
      <c r="B287">
        <v>2857</v>
      </c>
      <c r="H287">
        <f t="shared" si="21"/>
        <v>0</v>
      </c>
      <c r="I287" s="9" t="str" cm="1">
        <f t="array" ref="I287">_xlfn.LET(_xlpm.total,SUM(D287:G287),_xlpm.maxv,MAX(D287:G287),IF(_xlpm.total=0,"",IF(_xlpm.maxv/_xlpm.total&lt;0.5,"Mixed-Class",_xlfn.IFS(_xlpm.maxv=D287,"Assault",_xlpm.maxv=E287,"Engineer",_xlpm.maxv=F287,"Recon",_xlpm.maxv=G287,"Support"))))</f>
        <v/>
      </c>
      <c r="J287" t="str">
        <f t="shared" si="22"/>
        <v/>
      </c>
      <c r="K287" s="10" t="str">
        <f t="shared" si="23"/>
        <v/>
      </c>
    </row>
    <row r="288" spans="2:11" x14ac:dyDescent="0.25">
      <c r="B288">
        <v>2867</v>
      </c>
      <c r="H288">
        <f t="shared" si="21"/>
        <v>0</v>
      </c>
      <c r="I288" s="9" t="str" cm="1">
        <f t="array" ref="I288">_xlfn.LET(_xlpm.total,SUM(D288:G288),_xlpm.maxv,MAX(D288:G288),IF(_xlpm.total=0,"",IF(_xlpm.maxv/_xlpm.total&lt;0.5,"Mixed-Class",_xlfn.IFS(_xlpm.maxv=D288,"Assault",_xlpm.maxv=E288,"Engineer",_xlpm.maxv=F288,"Recon",_xlpm.maxv=G288,"Support"))))</f>
        <v/>
      </c>
      <c r="J288" t="str">
        <f t="shared" si="22"/>
        <v/>
      </c>
      <c r="K288" s="10" t="str">
        <f t="shared" si="23"/>
        <v/>
      </c>
    </row>
    <row r="289" spans="2:11" x14ac:dyDescent="0.25">
      <c r="B289">
        <v>2877</v>
      </c>
      <c r="H289">
        <f t="shared" si="21"/>
        <v>0</v>
      </c>
      <c r="I289" s="9" t="str" cm="1">
        <f t="array" ref="I289">_xlfn.LET(_xlpm.total,SUM(D289:G289),_xlpm.maxv,MAX(D289:G289),IF(_xlpm.total=0,"",IF(_xlpm.maxv/_xlpm.total&lt;0.5,"Mixed-Class",_xlfn.IFS(_xlpm.maxv=D289,"Assault",_xlpm.maxv=E289,"Engineer",_xlpm.maxv=F289,"Recon",_xlpm.maxv=G289,"Support"))))</f>
        <v/>
      </c>
      <c r="J289" t="str">
        <f t="shared" si="22"/>
        <v/>
      </c>
      <c r="K289" s="10" t="str">
        <f t="shared" si="23"/>
        <v/>
      </c>
    </row>
    <row r="290" spans="2:11" x14ac:dyDescent="0.25">
      <c r="B290">
        <v>2887</v>
      </c>
      <c r="H290">
        <f t="shared" si="21"/>
        <v>0</v>
      </c>
      <c r="I290" s="9" t="str" cm="1">
        <f t="array" ref="I290">_xlfn.LET(_xlpm.total,SUM(D290:G290),_xlpm.maxv,MAX(D290:G290),IF(_xlpm.total=0,"",IF(_xlpm.maxv/_xlpm.total&lt;0.5,"Mixed-Class",_xlfn.IFS(_xlpm.maxv=D290,"Assault",_xlpm.maxv=E290,"Engineer",_xlpm.maxv=F290,"Recon",_xlpm.maxv=G290,"Support"))))</f>
        <v/>
      </c>
      <c r="J290" t="str">
        <f t="shared" si="22"/>
        <v/>
      </c>
      <c r="K290" s="10" t="str">
        <f t="shared" si="23"/>
        <v/>
      </c>
    </row>
    <row r="291" spans="2:11" x14ac:dyDescent="0.25">
      <c r="B291">
        <v>2897</v>
      </c>
      <c r="H291">
        <f t="shared" si="21"/>
        <v>0</v>
      </c>
      <c r="I291" s="9" t="str" cm="1">
        <f t="array" ref="I291">_xlfn.LET(_xlpm.total,SUM(D291:G291),_xlpm.maxv,MAX(D291:G291),IF(_xlpm.total=0,"",IF(_xlpm.maxv/_xlpm.total&lt;0.5,"Mixed-Class",_xlfn.IFS(_xlpm.maxv=D291,"Assault",_xlpm.maxv=E291,"Engineer",_xlpm.maxv=F291,"Recon",_xlpm.maxv=G291,"Support"))))</f>
        <v/>
      </c>
      <c r="J291" t="str">
        <f t="shared" si="22"/>
        <v/>
      </c>
      <c r="K291" s="10" t="str">
        <f t="shared" si="23"/>
        <v/>
      </c>
    </row>
    <row r="292" spans="2:11" x14ac:dyDescent="0.25">
      <c r="B292">
        <v>2907</v>
      </c>
      <c r="H292">
        <f t="shared" si="21"/>
        <v>0</v>
      </c>
      <c r="I292" s="9" t="str" cm="1">
        <f t="array" ref="I292">_xlfn.LET(_xlpm.total,SUM(D292:G292),_xlpm.maxv,MAX(D292:G292),IF(_xlpm.total=0,"",IF(_xlpm.maxv/_xlpm.total&lt;0.5,"Mixed-Class",_xlfn.IFS(_xlpm.maxv=D292,"Assault",_xlpm.maxv=E292,"Engineer",_xlpm.maxv=F292,"Recon",_xlpm.maxv=G292,"Support"))))</f>
        <v/>
      </c>
      <c r="J292" t="str">
        <f t="shared" si="22"/>
        <v/>
      </c>
      <c r="K292" s="10" t="str">
        <f t="shared" si="23"/>
        <v/>
      </c>
    </row>
    <row r="293" spans="2:11" x14ac:dyDescent="0.25">
      <c r="B293">
        <v>2917</v>
      </c>
      <c r="H293">
        <f t="shared" si="21"/>
        <v>0</v>
      </c>
      <c r="I293" s="9" t="str" cm="1">
        <f t="array" ref="I293">_xlfn.LET(_xlpm.total,SUM(D293:G293),_xlpm.maxv,MAX(D293:G293),IF(_xlpm.total=0,"",IF(_xlpm.maxv/_xlpm.total&lt;0.5,"Mixed-Class",_xlfn.IFS(_xlpm.maxv=D293,"Assault",_xlpm.maxv=E293,"Engineer",_xlpm.maxv=F293,"Recon",_xlpm.maxv=G293,"Support"))))</f>
        <v/>
      </c>
      <c r="J293" t="str">
        <f t="shared" si="22"/>
        <v/>
      </c>
      <c r="K293" s="10" t="str">
        <f t="shared" si="23"/>
        <v/>
      </c>
    </row>
    <row r="294" spans="2:11" x14ac:dyDescent="0.25">
      <c r="B294">
        <v>2927</v>
      </c>
      <c r="H294">
        <f t="shared" si="21"/>
        <v>0</v>
      </c>
      <c r="I294" s="9" t="str" cm="1">
        <f t="array" ref="I294">_xlfn.LET(_xlpm.total,SUM(D294:G294),_xlpm.maxv,MAX(D294:G294),IF(_xlpm.total=0,"",IF(_xlpm.maxv/_xlpm.total&lt;0.5,"Mixed-Class",_xlfn.IFS(_xlpm.maxv=D294,"Assault",_xlpm.maxv=E294,"Engineer",_xlpm.maxv=F294,"Recon",_xlpm.maxv=G294,"Support"))))</f>
        <v/>
      </c>
      <c r="J294" t="str">
        <f t="shared" si="22"/>
        <v/>
      </c>
      <c r="K294" s="10" t="str">
        <f t="shared" si="23"/>
        <v/>
      </c>
    </row>
    <row r="295" spans="2:11" x14ac:dyDescent="0.25">
      <c r="B295">
        <v>2937</v>
      </c>
      <c r="H295">
        <f t="shared" si="21"/>
        <v>0</v>
      </c>
      <c r="I295" s="9" t="str" cm="1">
        <f t="array" ref="I295">_xlfn.LET(_xlpm.total,SUM(D295:G295),_xlpm.maxv,MAX(D295:G295),IF(_xlpm.total=0,"",IF(_xlpm.maxv/_xlpm.total&lt;0.5,"Mixed-Class",_xlfn.IFS(_xlpm.maxv=D295,"Assault",_xlpm.maxv=E295,"Engineer",_xlpm.maxv=F295,"Recon",_xlpm.maxv=G295,"Support"))))</f>
        <v/>
      </c>
      <c r="J295" t="str">
        <f t="shared" si="22"/>
        <v/>
      </c>
      <c r="K295" s="10" t="str">
        <f t="shared" si="23"/>
        <v/>
      </c>
    </row>
    <row r="296" spans="2:11" x14ac:dyDescent="0.25">
      <c r="B296">
        <v>2947</v>
      </c>
      <c r="H296">
        <f t="shared" si="21"/>
        <v>0</v>
      </c>
      <c r="I296" s="9" t="str" cm="1">
        <f t="array" ref="I296">_xlfn.LET(_xlpm.total,SUM(D296:G296),_xlpm.maxv,MAX(D296:G296),IF(_xlpm.total=0,"",IF(_xlpm.maxv/_xlpm.total&lt;0.5,"Mixed-Class",_xlfn.IFS(_xlpm.maxv=D296,"Assault",_xlpm.maxv=E296,"Engineer",_xlpm.maxv=F296,"Recon",_xlpm.maxv=G296,"Support"))))</f>
        <v/>
      </c>
      <c r="J296" t="str">
        <f t="shared" si="22"/>
        <v/>
      </c>
      <c r="K296" s="10" t="str">
        <f t="shared" si="23"/>
        <v/>
      </c>
    </row>
    <row r="297" spans="2:11" x14ac:dyDescent="0.25">
      <c r="B297">
        <v>2957</v>
      </c>
      <c r="H297">
        <f t="shared" si="21"/>
        <v>0</v>
      </c>
      <c r="I297" s="9" t="str" cm="1">
        <f t="array" ref="I297">_xlfn.LET(_xlpm.total,SUM(D297:G297),_xlpm.maxv,MAX(D297:G297),IF(_xlpm.total=0,"",IF(_xlpm.maxv/_xlpm.total&lt;0.5,"Mixed-Class",_xlfn.IFS(_xlpm.maxv=D297,"Assault",_xlpm.maxv=E297,"Engineer",_xlpm.maxv=F297,"Recon",_xlpm.maxv=G297,"Support"))))</f>
        <v/>
      </c>
      <c r="J297" t="str">
        <f t="shared" si="22"/>
        <v/>
      </c>
      <c r="K297" s="10" t="str">
        <f t="shared" si="23"/>
        <v/>
      </c>
    </row>
    <row r="298" spans="2:11" x14ac:dyDescent="0.25">
      <c r="B298">
        <v>2967</v>
      </c>
      <c r="H298">
        <f t="shared" si="21"/>
        <v>0</v>
      </c>
      <c r="I298" s="9" t="str" cm="1">
        <f t="array" ref="I298">_xlfn.LET(_xlpm.total,SUM(D298:G298),_xlpm.maxv,MAX(D298:G298),IF(_xlpm.total=0,"",IF(_xlpm.maxv/_xlpm.total&lt;0.5,"Mixed-Class",_xlfn.IFS(_xlpm.maxv=D298,"Assault",_xlpm.maxv=E298,"Engineer",_xlpm.maxv=F298,"Recon",_xlpm.maxv=G298,"Support"))))</f>
        <v/>
      </c>
      <c r="J298" t="str">
        <f t="shared" si="22"/>
        <v/>
      </c>
      <c r="K298" s="10" t="str">
        <f t="shared" si="23"/>
        <v/>
      </c>
    </row>
    <row r="299" spans="2:11" x14ac:dyDescent="0.25">
      <c r="B299">
        <v>2977</v>
      </c>
      <c r="H299">
        <f t="shared" si="21"/>
        <v>0</v>
      </c>
      <c r="I299" s="9" t="str" cm="1">
        <f t="array" ref="I299">_xlfn.LET(_xlpm.total,SUM(D299:G299),_xlpm.maxv,MAX(D299:G299),IF(_xlpm.total=0,"",IF(_xlpm.maxv/_xlpm.total&lt;0.5,"Mixed-Class",_xlfn.IFS(_xlpm.maxv=D299,"Assault",_xlpm.maxv=E299,"Engineer",_xlpm.maxv=F299,"Recon",_xlpm.maxv=G299,"Support"))))</f>
        <v/>
      </c>
      <c r="J299" t="str">
        <f t="shared" si="22"/>
        <v/>
      </c>
      <c r="K299" s="10" t="str">
        <f t="shared" si="23"/>
        <v/>
      </c>
    </row>
    <row r="300" spans="2:11" x14ac:dyDescent="0.25">
      <c r="B300">
        <v>2987</v>
      </c>
      <c r="H300">
        <f t="shared" si="21"/>
        <v>0</v>
      </c>
      <c r="I300" s="9" t="str" cm="1">
        <f t="array" ref="I300">_xlfn.LET(_xlpm.total,SUM(D300:G300),_xlpm.maxv,MAX(D300:G300),IF(_xlpm.total=0,"",IF(_xlpm.maxv/_xlpm.total&lt;0.5,"Mixed-Class",_xlfn.IFS(_xlpm.maxv=D300,"Assault",_xlpm.maxv=E300,"Engineer",_xlpm.maxv=F300,"Recon",_xlpm.maxv=G300,"Support"))))</f>
        <v/>
      </c>
      <c r="J300" t="str">
        <f t="shared" si="22"/>
        <v/>
      </c>
      <c r="K300" s="10" t="str">
        <f t="shared" si="23"/>
        <v/>
      </c>
    </row>
    <row r="301" spans="2:11" x14ac:dyDescent="0.25">
      <c r="B301">
        <v>2997</v>
      </c>
      <c r="H301">
        <f t="shared" si="21"/>
        <v>0</v>
      </c>
      <c r="I301" s="9" t="str" cm="1">
        <f t="array" ref="I301">_xlfn.LET(_xlpm.total,SUM(D301:G301),_xlpm.maxv,MAX(D301:G301),IF(_xlpm.total=0,"",IF(_xlpm.maxv/_xlpm.total&lt;0.5,"Mixed-Class",_xlfn.IFS(_xlpm.maxv=D301,"Assault",_xlpm.maxv=E301,"Engineer",_xlpm.maxv=F301,"Recon",_xlpm.maxv=G301,"Support"))))</f>
        <v/>
      </c>
      <c r="J301" t="str">
        <f t="shared" si="22"/>
        <v/>
      </c>
      <c r="K301" s="10" t="str">
        <f t="shared" si="23"/>
        <v/>
      </c>
    </row>
    <row r="302" spans="2:11" x14ac:dyDescent="0.25">
      <c r="B302">
        <v>3007</v>
      </c>
      <c r="H302">
        <f t="shared" si="21"/>
        <v>0</v>
      </c>
      <c r="I302" s="9" t="str" cm="1">
        <f t="array" ref="I302">_xlfn.LET(_xlpm.total,SUM(D302:G302),_xlpm.maxv,MAX(D302:G302),IF(_xlpm.total=0,"",IF(_xlpm.maxv/_xlpm.total&lt;0.5,"Mixed-Class",_xlfn.IFS(_xlpm.maxv=D302,"Assault",_xlpm.maxv=E302,"Engineer",_xlpm.maxv=F302,"Recon",_xlpm.maxv=G302,"Support"))))</f>
        <v/>
      </c>
      <c r="J302" t="str">
        <f t="shared" si="22"/>
        <v/>
      </c>
      <c r="K302" s="10" t="str">
        <f t="shared" si="23"/>
        <v/>
      </c>
    </row>
    <row r="303" spans="2:11" x14ac:dyDescent="0.25">
      <c r="B303">
        <v>3017</v>
      </c>
      <c r="H303">
        <f t="shared" si="21"/>
        <v>0</v>
      </c>
      <c r="I303" s="9" t="str" cm="1">
        <f t="array" ref="I303">_xlfn.LET(_xlpm.total,SUM(D303:G303),_xlpm.maxv,MAX(D303:G303),IF(_xlpm.total=0,"",IF(_xlpm.maxv/_xlpm.total&lt;0.5,"Mixed-Class",_xlfn.IFS(_xlpm.maxv=D303,"Assault",_xlpm.maxv=E303,"Engineer",_xlpm.maxv=F303,"Recon",_xlpm.maxv=G303,"Support"))))</f>
        <v/>
      </c>
      <c r="J303" t="str">
        <f t="shared" si="22"/>
        <v/>
      </c>
      <c r="K303" s="10" t="str">
        <f t="shared" si="23"/>
        <v/>
      </c>
    </row>
    <row r="304" spans="2:11" x14ac:dyDescent="0.25">
      <c r="B304">
        <v>3027</v>
      </c>
      <c r="H304">
        <f t="shared" si="21"/>
        <v>0</v>
      </c>
      <c r="I304" s="9" t="str" cm="1">
        <f t="array" ref="I304">_xlfn.LET(_xlpm.total,SUM(D304:G304),_xlpm.maxv,MAX(D304:G304),IF(_xlpm.total=0,"",IF(_xlpm.maxv/_xlpm.total&lt;0.5,"Mixed-Class",_xlfn.IFS(_xlpm.maxv=D304,"Assault",_xlpm.maxv=E304,"Engineer",_xlpm.maxv=F304,"Recon",_xlpm.maxv=G304,"Support"))))</f>
        <v/>
      </c>
      <c r="J304" t="str">
        <f t="shared" si="22"/>
        <v/>
      </c>
      <c r="K304" s="10" t="str">
        <f t="shared" si="23"/>
        <v/>
      </c>
    </row>
    <row r="305" spans="2:11" x14ac:dyDescent="0.25">
      <c r="B305">
        <v>3037</v>
      </c>
      <c r="H305">
        <f t="shared" si="21"/>
        <v>0</v>
      </c>
      <c r="I305" s="9" t="str" cm="1">
        <f t="array" ref="I305">_xlfn.LET(_xlpm.total,SUM(D305:G305),_xlpm.maxv,MAX(D305:G305),IF(_xlpm.total=0,"",IF(_xlpm.maxv/_xlpm.total&lt;0.5,"Mixed-Class",_xlfn.IFS(_xlpm.maxv=D305,"Assault",_xlpm.maxv=E305,"Engineer",_xlpm.maxv=F305,"Recon",_xlpm.maxv=G305,"Support"))))</f>
        <v/>
      </c>
      <c r="J305" t="str">
        <f t="shared" si="22"/>
        <v/>
      </c>
      <c r="K305" s="10" t="str">
        <f t="shared" si="23"/>
        <v/>
      </c>
    </row>
    <row r="306" spans="2:11" x14ac:dyDescent="0.25">
      <c r="B306">
        <v>3047</v>
      </c>
      <c r="H306">
        <f t="shared" si="21"/>
        <v>0</v>
      </c>
      <c r="I306" s="9" t="str" cm="1">
        <f t="array" ref="I306">_xlfn.LET(_xlpm.total,SUM(D306:G306),_xlpm.maxv,MAX(D306:G306),IF(_xlpm.total=0,"",IF(_xlpm.maxv/_xlpm.total&lt;0.5,"Mixed-Class",_xlfn.IFS(_xlpm.maxv=D306,"Assault",_xlpm.maxv=E306,"Engineer",_xlpm.maxv=F306,"Recon",_xlpm.maxv=G306,"Support"))))</f>
        <v/>
      </c>
      <c r="J306" t="str">
        <f t="shared" si="22"/>
        <v/>
      </c>
      <c r="K306" s="10" t="str">
        <f t="shared" si="23"/>
        <v/>
      </c>
    </row>
    <row r="307" spans="2:11" x14ac:dyDescent="0.25">
      <c r="B307">
        <v>3057</v>
      </c>
      <c r="H307">
        <f t="shared" si="21"/>
        <v>0</v>
      </c>
      <c r="I307" s="9" t="str" cm="1">
        <f t="array" ref="I307">_xlfn.LET(_xlpm.total,SUM(D307:G307),_xlpm.maxv,MAX(D307:G307),IF(_xlpm.total=0,"",IF(_xlpm.maxv/_xlpm.total&lt;0.5,"Mixed-Class",_xlfn.IFS(_xlpm.maxv=D307,"Assault",_xlpm.maxv=E307,"Engineer",_xlpm.maxv=F307,"Recon",_xlpm.maxv=G307,"Support"))))</f>
        <v/>
      </c>
      <c r="J307" t="str">
        <f t="shared" si="22"/>
        <v/>
      </c>
      <c r="K307" s="10" t="str">
        <f t="shared" si="23"/>
        <v/>
      </c>
    </row>
    <row r="308" spans="2:11" x14ac:dyDescent="0.25">
      <c r="B308">
        <v>3067</v>
      </c>
      <c r="H308">
        <f t="shared" si="21"/>
        <v>0</v>
      </c>
      <c r="I308" s="9" t="str" cm="1">
        <f t="array" ref="I308">_xlfn.LET(_xlpm.total,SUM(D308:G308),_xlpm.maxv,MAX(D308:G308),IF(_xlpm.total=0,"",IF(_xlpm.maxv/_xlpm.total&lt;0.5,"Mixed-Class",_xlfn.IFS(_xlpm.maxv=D308,"Assault",_xlpm.maxv=E308,"Engineer",_xlpm.maxv=F308,"Recon",_xlpm.maxv=G308,"Support"))))</f>
        <v/>
      </c>
      <c r="J308" t="str">
        <f t="shared" si="22"/>
        <v/>
      </c>
      <c r="K308" s="10" t="str">
        <f t="shared" si="23"/>
        <v/>
      </c>
    </row>
    <row r="309" spans="2:11" x14ac:dyDescent="0.25">
      <c r="B309">
        <v>3077</v>
      </c>
      <c r="H309">
        <f t="shared" si="21"/>
        <v>0</v>
      </c>
      <c r="I309" s="9" t="str" cm="1">
        <f t="array" ref="I309">_xlfn.LET(_xlpm.total,SUM(D309:G309),_xlpm.maxv,MAX(D309:G309),IF(_xlpm.total=0,"",IF(_xlpm.maxv/_xlpm.total&lt;0.5,"Mixed-Class",_xlfn.IFS(_xlpm.maxv=D309,"Assault",_xlpm.maxv=E309,"Engineer",_xlpm.maxv=F309,"Recon",_xlpm.maxv=G309,"Support"))))</f>
        <v/>
      </c>
      <c r="J309" t="str">
        <f t="shared" si="22"/>
        <v/>
      </c>
      <c r="K309" s="10" t="str">
        <f t="shared" si="23"/>
        <v/>
      </c>
    </row>
    <row r="310" spans="2:11" x14ac:dyDescent="0.25">
      <c r="B310">
        <v>3087</v>
      </c>
      <c r="H310">
        <f t="shared" si="21"/>
        <v>0</v>
      </c>
      <c r="I310" s="9" t="str" cm="1">
        <f t="array" ref="I310">_xlfn.LET(_xlpm.total,SUM(D310:G310),_xlpm.maxv,MAX(D310:G310),IF(_xlpm.total=0,"",IF(_xlpm.maxv/_xlpm.total&lt;0.5,"Mixed-Class",_xlfn.IFS(_xlpm.maxv=D310,"Assault",_xlpm.maxv=E310,"Engineer",_xlpm.maxv=F310,"Recon",_xlpm.maxv=G310,"Support"))))</f>
        <v/>
      </c>
      <c r="J310" t="str">
        <f t="shared" si="22"/>
        <v/>
      </c>
      <c r="K310" s="10" t="str">
        <f t="shared" si="23"/>
        <v/>
      </c>
    </row>
    <row r="311" spans="2:11" x14ac:dyDescent="0.25">
      <c r="B311">
        <v>3097</v>
      </c>
      <c r="H311">
        <f t="shared" si="21"/>
        <v>0</v>
      </c>
      <c r="I311" s="9" t="str" cm="1">
        <f t="array" ref="I311">_xlfn.LET(_xlpm.total,SUM(D311:G311),_xlpm.maxv,MAX(D311:G311),IF(_xlpm.total=0,"",IF(_xlpm.maxv/_xlpm.total&lt;0.5,"Mixed-Class",_xlfn.IFS(_xlpm.maxv=D311,"Assault",_xlpm.maxv=E311,"Engineer",_xlpm.maxv=F311,"Recon",_xlpm.maxv=G311,"Support"))))</f>
        <v/>
      </c>
      <c r="J311" t="str">
        <f t="shared" si="22"/>
        <v/>
      </c>
      <c r="K311" s="10" t="str">
        <f t="shared" si="23"/>
        <v/>
      </c>
    </row>
    <row r="312" spans="2:11" x14ac:dyDescent="0.25">
      <c r="B312">
        <v>3107</v>
      </c>
      <c r="H312">
        <f t="shared" si="21"/>
        <v>0</v>
      </c>
      <c r="I312" s="9" t="str" cm="1">
        <f t="array" ref="I312">_xlfn.LET(_xlpm.total,SUM(D312:G312),_xlpm.maxv,MAX(D312:G312),IF(_xlpm.total=0,"",IF(_xlpm.maxv/_xlpm.total&lt;0.5,"Mixed-Class",_xlfn.IFS(_xlpm.maxv=D312,"Assault",_xlpm.maxv=E312,"Engineer",_xlpm.maxv=F312,"Recon",_xlpm.maxv=G312,"Support"))))</f>
        <v/>
      </c>
      <c r="J312" t="str">
        <f t="shared" si="22"/>
        <v/>
      </c>
      <c r="K312" s="10" t="str">
        <f t="shared" si="23"/>
        <v/>
      </c>
    </row>
    <row r="313" spans="2:11" x14ac:dyDescent="0.25">
      <c r="B313">
        <v>3117</v>
      </c>
      <c r="H313">
        <f t="shared" si="21"/>
        <v>0</v>
      </c>
      <c r="I313" s="9" t="str" cm="1">
        <f t="array" ref="I313">_xlfn.LET(_xlpm.total,SUM(D313:G313),_xlpm.maxv,MAX(D313:G313),IF(_xlpm.total=0,"",IF(_xlpm.maxv/_xlpm.total&lt;0.5,"Mixed-Class",_xlfn.IFS(_xlpm.maxv=D313,"Assault",_xlpm.maxv=E313,"Engineer",_xlpm.maxv=F313,"Recon",_xlpm.maxv=G313,"Support"))))</f>
        <v/>
      </c>
      <c r="J313" t="str">
        <f t="shared" si="22"/>
        <v/>
      </c>
      <c r="K313" s="10" t="str">
        <f t="shared" si="23"/>
        <v/>
      </c>
    </row>
    <row r="314" spans="2:11" x14ac:dyDescent="0.25">
      <c r="B314">
        <v>3127</v>
      </c>
      <c r="H314">
        <f t="shared" si="21"/>
        <v>0</v>
      </c>
      <c r="I314" s="9" t="str" cm="1">
        <f t="array" ref="I314">_xlfn.LET(_xlpm.total,SUM(D314:G314),_xlpm.maxv,MAX(D314:G314),IF(_xlpm.total=0,"",IF(_xlpm.maxv/_xlpm.total&lt;0.5,"Mixed-Class",_xlfn.IFS(_xlpm.maxv=D314,"Assault",_xlpm.maxv=E314,"Engineer",_xlpm.maxv=F314,"Recon",_xlpm.maxv=G314,"Support"))))</f>
        <v/>
      </c>
      <c r="J314" t="str">
        <f t="shared" si="22"/>
        <v/>
      </c>
      <c r="K314" s="10" t="str">
        <f t="shared" si="23"/>
        <v/>
      </c>
    </row>
    <row r="315" spans="2:11" x14ac:dyDescent="0.25">
      <c r="B315">
        <v>3137</v>
      </c>
      <c r="H315">
        <f t="shared" si="21"/>
        <v>0</v>
      </c>
      <c r="I315" s="9" t="str" cm="1">
        <f t="array" ref="I315">_xlfn.LET(_xlpm.total,SUM(D315:G315),_xlpm.maxv,MAX(D315:G315),IF(_xlpm.total=0,"",IF(_xlpm.maxv/_xlpm.total&lt;0.5,"Mixed-Class",_xlfn.IFS(_xlpm.maxv=D315,"Assault",_xlpm.maxv=E315,"Engineer",_xlpm.maxv=F315,"Recon",_xlpm.maxv=G315,"Support"))))</f>
        <v/>
      </c>
      <c r="J315" t="str">
        <f t="shared" si="22"/>
        <v/>
      </c>
      <c r="K315" s="10" t="str">
        <f t="shared" si="23"/>
        <v/>
      </c>
    </row>
    <row r="316" spans="2:11" x14ac:dyDescent="0.25">
      <c r="B316">
        <v>3147</v>
      </c>
      <c r="H316">
        <f t="shared" si="21"/>
        <v>0</v>
      </c>
      <c r="I316" s="9" t="str" cm="1">
        <f t="array" ref="I316">_xlfn.LET(_xlpm.total,SUM(D316:G316),_xlpm.maxv,MAX(D316:G316),IF(_xlpm.total=0,"",IF(_xlpm.maxv/_xlpm.total&lt;0.5,"Mixed-Class",_xlfn.IFS(_xlpm.maxv=D316,"Assault",_xlpm.maxv=E316,"Engineer",_xlpm.maxv=F316,"Recon",_xlpm.maxv=G316,"Support"))))</f>
        <v/>
      </c>
      <c r="J316" t="str">
        <f t="shared" si="22"/>
        <v/>
      </c>
      <c r="K316" s="10" t="str">
        <f t="shared" si="23"/>
        <v/>
      </c>
    </row>
    <row r="317" spans="2:11" x14ac:dyDescent="0.25">
      <c r="B317">
        <v>3157</v>
      </c>
      <c r="H317">
        <f t="shared" si="21"/>
        <v>0</v>
      </c>
      <c r="I317" s="9" t="str" cm="1">
        <f t="array" ref="I317">_xlfn.LET(_xlpm.total,SUM(D317:G317),_xlpm.maxv,MAX(D317:G317),IF(_xlpm.total=0,"",IF(_xlpm.maxv/_xlpm.total&lt;0.5,"Mixed-Class",_xlfn.IFS(_xlpm.maxv=D317,"Assault",_xlpm.maxv=E317,"Engineer",_xlpm.maxv=F317,"Recon",_xlpm.maxv=G317,"Support"))))</f>
        <v/>
      </c>
      <c r="J317" t="str">
        <f t="shared" si="22"/>
        <v/>
      </c>
      <c r="K317" s="10" t="str">
        <f t="shared" si="23"/>
        <v/>
      </c>
    </row>
    <row r="318" spans="2:11" x14ac:dyDescent="0.25">
      <c r="B318">
        <v>3167</v>
      </c>
      <c r="H318">
        <f t="shared" si="21"/>
        <v>0</v>
      </c>
      <c r="I318" s="9" t="str" cm="1">
        <f t="array" ref="I318">_xlfn.LET(_xlpm.total,SUM(D318:G318),_xlpm.maxv,MAX(D318:G318),IF(_xlpm.total=0,"",IF(_xlpm.maxv/_xlpm.total&lt;0.5,"Mixed-Class",_xlfn.IFS(_xlpm.maxv=D318,"Assault",_xlpm.maxv=E318,"Engineer",_xlpm.maxv=F318,"Recon",_xlpm.maxv=G318,"Support"))))</f>
        <v/>
      </c>
      <c r="J318" t="str">
        <f t="shared" si="22"/>
        <v/>
      </c>
      <c r="K318" s="10" t="str">
        <f t="shared" si="23"/>
        <v/>
      </c>
    </row>
    <row r="319" spans="2:11" x14ac:dyDescent="0.25">
      <c r="B319">
        <v>3177</v>
      </c>
      <c r="H319">
        <f t="shared" si="21"/>
        <v>0</v>
      </c>
      <c r="I319" s="9" t="str" cm="1">
        <f t="array" ref="I319">_xlfn.LET(_xlpm.total,SUM(D319:G319),_xlpm.maxv,MAX(D319:G319),IF(_xlpm.total=0,"",IF(_xlpm.maxv/_xlpm.total&lt;0.5,"Mixed-Class",_xlfn.IFS(_xlpm.maxv=D319,"Assault",_xlpm.maxv=E319,"Engineer",_xlpm.maxv=F319,"Recon",_xlpm.maxv=G319,"Support"))))</f>
        <v/>
      </c>
      <c r="J319" t="str">
        <f t="shared" si="22"/>
        <v/>
      </c>
      <c r="K319" s="10" t="str">
        <f t="shared" si="23"/>
        <v/>
      </c>
    </row>
    <row r="320" spans="2:11" x14ac:dyDescent="0.25">
      <c r="B320">
        <v>3187</v>
      </c>
      <c r="H320">
        <f t="shared" si="21"/>
        <v>0</v>
      </c>
      <c r="I320" s="9" t="str" cm="1">
        <f t="array" ref="I320">_xlfn.LET(_xlpm.total,SUM(D320:G320),_xlpm.maxv,MAX(D320:G320),IF(_xlpm.total=0,"",IF(_xlpm.maxv/_xlpm.total&lt;0.5,"Mixed-Class",_xlfn.IFS(_xlpm.maxv=D320,"Assault",_xlpm.maxv=E320,"Engineer",_xlpm.maxv=F320,"Recon",_xlpm.maxv=G320,"Support"))))</f>
        <v/>
      </c>
      <c r="J320" t="str">
        <f t="shared" si="22"/>
        <v/>
      </c>
      <c r="K320" s="10" t="str">
        <f t="shared" si="23"/>
        <v/>
      </c>
    </row>
    <row r="321" spans="2:11" x14ac:dyDescent="0.25">
      <c r="B321">
        <v>3197</v>
      </c>
      <c r="H321">
        <f t="shared" si="21"/>
        <v>0</v>
      </c>
      <c r="I321" s="9" t="str" cm="1">
        <f t="array" ref="I321">_xlfn.LET(_xlpm.total,SUM(D321:G321),_xlpm.maxv,MAX(D321:G321),IF(_xlpm.total=0,"",IF(_xlpm.maxv/_xlpm.total&lt;0.5,"Mixed-Class",_xlfn.IFS(_xlpm.maxv=D321,"Assault",_xlpm.maxv=E321,"Engineer",_xlpm.maxv=F321,"Recon",_xlpm.maxv=G321,"Support"))))</f>
        <v/>
      </c>
      <c r="J321" t="str">
        <f t="shared" si="22"/>
        <v/>
      </c>
      <c r="K321" s="10" t="str">
        <f t="shared" si="23"/>
        <v/>
      </c>
    </row>
    <row r="322" spans="2:11" x14ac:dyDescent="0.25">
      <c r="B322">
        <v>3207</v>
      </c>
      <c r="H322">
        <f t="shared" si="21"/>
        <v>0</v>
      </c>
      <c r="I322" s="9" t="str" cm="1">
        <f t="array" ref="I322">_xlfn.LET(_xlpm.total,SUM(D322:G322),_xlpm.maxv,MAX(D322:G322),IF(_xlpm.total=0,"",IF(_xlpm.maxv/_xlpm.total&lt;0.5,"Mixed-Class",_xlfn.IFS(_xlpm.maxv=D322,"Assault",_xlpm.maxv=E322,"Engineer",_xlpm.maxv=F322,"Recon",_xlpm.maxv=G322,"Support"))))</f>
        <v/>
      </c>
      <c r="J322" t="str">
        <f t="shared" si="22"/>
        <v/>
      </c>
      <c r="K322" s="10" t="str">
        <f t="shared" si="23"/>
        <v/>
      </c>
    </row>
    <row r="323" spans="2:11" x14ac:dyDescent="0.25">
      <c r="B323">
        <v>3217</v>
      </c>
      <c r="H323">
        <f t="shared" ref="H323:H386" si="24">SUM(D323:G323)</f>
        <v>0</v>
      </c>
      <c r="I323" s="9" t="str" cm="1">
        <f t="array" ref="I323">_xlfn.LET(_xlpm.total,SUM(D323:G323),_xlpm.maxv,MAX(D323:G323),IF(_xlpm.total=0,"",IF(_xlpm.maxv/_xlpm.total&lt;0.5,"Mixed-Class",_xlfn.IFS(_xlpm.maxv=D323,"Assault",_xlpm.maxv=E323,"Engineer",_xlpm.maxv=F323,"Recon",_xlpm.maxv=G323,"Support"))))</f>
        <v/>
      </c>
      <c r="J323" t="str">
        <f t="shared" ref="J323:J386" si="25">_xlfn.LET(_xlpm.total,SUM(D323:G323),IF(_xlpm.total=0,"",MAX(D323:G323)/_xlpm.total&gt;=0.5))</f>
        <v/>
      </c>
      <c r="K323" s="10" t="str">
        <f t="shared" ref="K323:K386" si="26">_xlfn.LET(_xlpm.total,SUM(D323:G323),IF(_xlpm.total=0,"",MAX(D323:G323)/_xlpm.total))</f>
        <v/>
      </c>
    </row>
    <row r="324" spans="2:11" x14ac:dyDescent="0.25">
      <c r="B324">
        <v>3227</v>
      </c>
      <c r="H324">
        <f t="shared" si="24"/>
        <v>0</v>
      </c>
      <c r="I324" s="9" t="str" cm="1">
        <f t="array" ref="I324">_xlfn.LET(_xlpm.total,SUM(D324:G324),_xlpm.maxv,MAX(D324:G324),IF(_xlpm.total=0,"",IF(_xlpm.maxv/_xlpm.total&lt;0.5,"Mixed-Class",_xlfn.IFS(_xlpm.maxv=D324,"Assault",_xlpm.maxv=E324,"Engineer",_xlpm.maxv=F324,"Recon",_xlpm.maxv=G324,"Support"))))</f>
        <v/>
      </c>
      <c r="J324" t="str">
        <f t="shared" si="25"/>
        <v/>
      </c>
      <c r="K324" s="10" t="str">
        <f t="shared" si="26"/>
        <v/>
      </c>
    </row>
    <row r="325" spans="2:11" x14ac:dyDescent="0.25">
      <c r="B325">
        <v>3237</v>
      </c>
      <c r="H325">
        <f t="shared" si="24"/>
        <v>0</v>
      </c>
      <c r="I325" s="9" t="str" cm="1">
        <f t="array" ref="I325">_xlfn.LET(_xlpm.total,SUM(D325:G325),_xlpm.maxv,MAX(D325:G325),IF(_xlpm.total=0,"",IF(_xlpm.maxv/_xlpm.total&lt;0.5,"Mixed-Class",_xlfn.IFS(_xlpm.maxv=D325,"Assault",_xlpm.maxv=E325,"Engineer",_xlpm.maxv=F325,"Recon",_xlpm.maxv=G325,"Support"))))</f>
        <v/>
      </c>
      <c r="J325" t="str">
        <f t="shared" si="25"/>
        <v/>
      </c>
      <c r="K325" s="10" t="str">
        <f t="shared" si="26"/>
        <v/>
      </c>
    </row>
    <row r="326" spans="2:11" x14ac:dyDescent="0.25">
      <c r="B326">
        <v>3247</v>
      </c>
      <c r="H326">
        <f t="shared" si="24"/>
        <v>0</v>
      </c>
      <c r="I326" s="9" t="str" cm="1">
        <f t="array" ref="I326">_xlfn.LET(_xlpm.total,SUM(D326:G326),_xlpm.maxv,MAX(D326:G326),IF(_xlpm.total=0,"",IF(_xlpm.maxv/_xlpm.total&lt;0.5,"Mixed-Class",_xlfn.IFS(_xlpm.maxv=D326,"Assault",_xlpm.maxv=E326,"Engineer",_xlpm.maxv=F326,"Recon",_xlpm.maxv=G326,"Support"))))</f>
        <v/>
      </c>
      <c r="J326" t="str">
        <f t="shared" si="25"/>
        <v/>
      </c>
      <c r="K326" s="10" t="str">
        <f t="shared" si="26"/>
        <v/>
      </c>
    </row>
    <row r="327" spans="2:11" x14ac:dyDescent="0.25">
      <c r="B327">
        <v>3257</v>
      </c>
      <c r="H327">
        <f t="shared" si="24"/>
        <v>0</v>
      </c>
      <c r="I327" s="9" t="str" cm="1">
        <f t="array" ref="I327">_xlfn.LET(_xlpm.total,SUM(D327:G327),_xlpm.maxv,MAX(D327:G327),IF(_xlpm.total=0,"",IF(_xlpm.maxv/_xlpm.total&lt;0.5,"Mixed-Class",_xlfn.IFS(_xlpm.maxv=D327,"Assault",_xlpm.maxv=E327,"Engineer",_xlpm.maxv=F327,"Recon",_xlpm.maxv=G327,"Support"))))</f>
        <v/>
      </c>
      <c r="J327" t="str">
        <f t="shared" si="25"/>
        <v/>
      </c>
      <c r="K327" s="10" t="str">
        <f t="shared" si="26"/>
        <v/>
      </c>
    </row>
    <row r="328" spans="2:11" x14ac:dyDescent="0.25">
      <c r="B328">
        <v>3267</v>
      </c>
      <c r="H328">
        <f t="shared" si="24"/>
        <v>0</v>
      </c>
      <c r="I328" s="9" t="str" cm="1">
        <f t="array" ref="I328">_xlfn.LET(_xlpm.total,SUM(D328:G328),_xlpm.maxv,MAX(D328:G328),IF(_xlpm.total=0,"",IF(_xlpm.maxv/_xlpm.total&lt;0.5,"Mixed-Class",_xlfn.IFS(_xlpm.maxv=D328,"Assault",_xlpm.maxv=E328,"Engineer",_xlpm.maxv=F328,"Recon",_xlpm.maxv=G328,"Support"))))</f>
        <v/>
      </c>
      <c r="J328" t="str">
        <f t="shared" si="25"/>
        <v/>
      </c>
      <c r="K328" s="10" t="str">
        <f t="shared" si="26"/>
        <v/>
      </c>
    </row>
    <row r="329" spans="2:11" x14ac:dyDescent="0.25">
      <c r="B329">
        <v>3277</v>
      </c>
      <c r="H329">
        <f t="shared" si="24"/>
        <v>0</v>
      </c>
      <c r="I329" s="9" t="str" cm="1">
        <f t="array" ref="I329">_xlfn.LET(_xlpm.total,SUM(D329:G329),_xlpm.maxv,MAX(D329:G329),IF(_xlpm.total=0,"",IF(_xlpm.maxv/_xlpm.total&lt;0.5,"Mixed-Class",_xlfn.IFS(_xlpm.maxv=D329,"Assault",_xlpm.maxv=E329,"Engineer",_xlpm.maxv=F329,"Recon",_xlpm.maxv=G329,"Support"))))</f>
        <v/>
      </c>
      <c r="J329" t="str">
        <f t="shared" si="25"/>
        <v/>
      </c>
      <c r="K329" s="10" t="str">
        <f t="shared" si="26"/>
        <v/>
      </c>
    </row>
    <row r="330" spans="2:11" x14ac:dyDescent="0.25">
      <c r="B330">
        <v>3287</v>
      </c>
      <c r="H330">
        <f t="shared" si="24"/>
        <v>0</v>
      </c>
      <c r="I330" s="9" t="str" cm="1">
        <f t="array" ref="I330">_xlfn.LET(_xlpm.total,SUM(D330:G330),_xlpm.maxv,MAX(D330:G330),IF(_xlpm.total=0,"",IF(_xlpm.maxv/_xlpm.total&lt;0.5,"Mixed-Class",_xlfn.IFS(_xlpm.maxv=D330,"Assault",_xlpm.maxv=E330,"Engineer",_xlpm.maxv=F330,"Recon",_xlpm.maxv=G330,"Support"))))</f>
        <v/>
      </c>
      <c r="J330" t="str">
        <f t="shared" si="25"/>
        <v/>
      </c>
      <c r="K330" s="10" t="str">
        <f t="shared" si="26"/>
        <v/>
      </c>
    </row>
    <row r="331" spans="2:11" x14ac:dyDescent="0.25">
      <c r="B331">
        <v>3297</v>
      </c>
      <c r="H331">
        <f t="shared" si="24"/>
        <v>0</v>
      </c>
      <c r="I331" s="9" t="str" cm="1">
        <f t="array" ref="I331">_xlfn.LET(_xlpm.total,SUM(D331:G331),_xlpm.maxv,MAX(D331:G331),IF(_xlpm.total=0,"",IF(_xlpm.maxv/_xlpm.total&lt;0.5,"Mixed-Class",_xlfn.IFS(_xlpm.maxv=D331,"Assault",_xlpm.maxv=E331,"Engineer",_xlpm.maxv=F331,"Recon",_xlpm.maxv=G331,"Support"))))</f>
        <v/>
      </c>
      <c r="J331" t="str">
        <f t="shared" si="25"/>
        <v/>
      </c>
      <c r="K331" s="10" t="str">
        <f t="shared" si="26"/>
        <v/>
      </c>
    </row>
    <row r="332" spans="2:11" x14ac:dyDescent="0.25">
      <c r="B332">
        <v>3307</v>
      </c>
      <c r="H332">
        <f t="shared" si="24"/>
        <v>0</v>
      </c>
      <c r="I332" s="9" t="str" cm="1">
        <f t="array" ref="I332">_xlfn.LET(_xlpm.total,SUM(D332:G332),_xlpm.maxv,MAX(D332:G332),IF(_xlpm.total=0,"",IF(_xlpm.maxv/_xlpm.total&lt;0.5,"Mixed-Class",_xlfn.IFS(_xlpm.maxv=D332,"Assault",_xlpm.maxv=E332,"Engineer",_xlpm.maxv=F332,"Recon",_xlpm.maxv=G332,"Support"))))</f>
        <v/>
      </c>
      <c r="J332" t="str">
        <f t="shared" si="25"/>
        <v/>
      </c>
      <c r="K332" s="10" t="str">
        <f t="shared" si="26"/>
        <v/>
      </c>
    </row>
    <row r="333" spans="2:11" x14ac:dyDescent="0.25">
      <c r="B333">
        <v>3317</v>
      </c>
      <c r="H333">
        <f t="shared" si="24"/>
        <v>0</v>
      </c>
      <c r="I333" s="9" t="str" cm="1">
        <f t="array" ref="I333">_xlfn.LET(_xlpm.total,SUM(D333:G333),_xlpm.maxv,MAX(D333:G333),IF(_xlpm.total=0,"",IF(_xlpm.maxv/_xlpm.total&lt;0.5,"Mixed-Class",_xlfn.IFS(_xlpm.maxv=D333,"Assault",_xlpm.maxv=E333,"Engineer",_xlpm.maxv=F333,"Recon",_xlpm.maxv=G333,"Support"))))</f>
        <v/>
      </c>
      <c r="J333" t="str">
        <f t="shared" si="25"/>
        <v/>
      </c>
      <c r="K333" s="10" t="str">
        <f t="shared" si="26"/>
        <v/>
      </c>
    </row>
    <row r="334" spans="2:11" x14ac:dyDescent="0.25">
      <c r="B334">
        <v>3327</v>
      </c>
      <c r="H334">
        <f t="shared" si="24"/>
        <v>0</v>
      </c>
      <c r="I334" s="9" t="str" cm="1">
        <f t="array" ref="I334">_xlfn.LET(_xlpm.total,SUM(D334:G334),_xlpm.maxv,MAX(D334:G334),IF(_xlpm.total=0,"",IF(_xlpm.maxv/_xlpm.total&lt;0.5,"Mixed-Class",_xlfn.IFS(_xlpm.maxv=D334,"Assault",_xlpm.maxv=E334,"Engineer",_xlpm.maxv=F334,"Recon",_xlpm.maxv=G334,"Support"))))</f>
        <v/>
      </c>
      <c r="J334" t="str">
        <f t="shared" si="25"/>
        <v/>
      </c>
      <c r="K334" s="10" t="str">
        <f t="shared" si="26"/>
        <v/>
      </c>
    </row>
    <row r="335" spans="2:11" x14ac:dyDescent="0.25">
      <c r="B335">
        <v>3337</v>
      </c>
      <c r="H335">
        <f t="shared" si="24"/>
        <v>0</v>
      </c>
      <c r="I335" s="9" t="str" cm="1">
        <f t="array" ref="I335">_xlfn.LET(_xlpm.total,SUM(D335:G335),_xlpm.maxv,MAX(D335:G335),IF(_xlpm.total=0,"",IF(_xlpm.maxv/_xlpm.total&lt;0.5,"Mixed-Class",_xlfn.IFS(_xlpm.maxv=D335,"Assault",_xlpm.maxv=E335,"Engineer",_xlpm.maxv=F335,"Recon",_xlpm.maxv=G335,"Support"))))</f>
        <v/>
      </c>
      <c r="J335" t="str">
        <f t="shared" si="25"/>
        <v/>
      </c>
      <c r="K335" s="10" t="str">
        <f t="shared" si="26"/>
        <v/>
      </c>
    </row>
    <row r="336" spans="2:11" x14ac:dyDescent="0.25">
      <c r="B336">
        <v>3347</v>
      </c>
      <c r="H336">
        <f t="shared" si="24"/>
        <v>0</v>
      </c>
      <c r="I336" s="9" t="str" cm="1">
        <f t="array" ref="I336">_xlfn.LET(_xlpm.total,SUM(D336:G336),_xlpm.maxv,MAX(D336:G336),IF(_xlpm.total=0,"",IF(_xlpm.maxv/_xlpm.total&lt;0.5,"Mixed-Class",_xlfn.IFS(_xlpm.maxv=D336,"Assault",_xlpm.maxv=E336,"Engineer",_xlpm.maxv=F336,"Recon",_xlpm.maxv=G336,"Support"))))</f>
        <v/>
      </c>
      <c r="J336" t="str">
        <f t="shared" si="25"/>
        <v/>
      </c>
      <c r="K336" s="10" t="str">
        <f t="shared" si="26"/>
        <v/>
      </c>
    </row>
    <row r="337" spans="2:11" x14ac:dyDescent="0.25">
      <c r="B337">
        <v>3357</v>
      </c>
      <c r="H337">
        <f t="shared" si="24"/>
        <v>0</v>
      </c>
      <c r="I337" s="9" t="str" cm="1">
        <f t="array" ref="I337">_xlfn.LET(_xlpm.total,SUM(D337:G337),_xlpm.maxv,MAX(D337:G337),IF(_xlpm.total=0,"",IF(_xlpm.maxv/_xlpm.total&lt;0.5,"Mixed-Class",_xlfn.IFS(_xlpm.maxv=D337,"Assault",_xlpm.maxv=E337,"Engineer",_xlpm.maxv=F337,"Recon",_xlpm.maxv=G337,"Support"))))</f>
        <v/>
      </c>
      <c r="J337" t="str">
        <f t="shared" si="25"/>
        <v/>
      </c>
      <c r="K337" s="10" t="str">
        <f t="shared" si="26"/>
        <v/>
      </c>
    </row>
    <row r="338" spans="2:11" x14ac:dyDescent="0.25">
      <c r="B338">
        <v>3367</v>
      </c>
      <c r="H338">
        <f t="shared" si="24"/>
        <v>0</v>
      </c>
      <c r="I338" s="9" t="str" cm="1">
        <f t="array" ref="I338">_xlfn.LET(_xlpm.total,SUM(D338:G338),_xlpm.maxv,MAX(D338:G338),IF(_xlpm.total=0,"",IF(_xlpm.maxv/_xlpm.total&lt;0.5,"Mixed-Class",_xlfn.IFS(_xlpm.maxv=D338,"Assault",_xlpm.maxv=E338,"Engineer",_xlpm.maxv=F338,"Recon",_xlpm.maxv=G338,"Support"))))</f>
        <v/>
      </c>
      <c r="J338" t="str">
        <f t="shared" si="25"/>
        <v/>
      </c>
      <c r="K338" s="10" t="str">
        <f t="shared" si="26"/>
        <v/>
      </c>
    </row>
    <row r="339" spans="2:11" x14ac:dyDescent="0.25">
      <c r="B339">
        <v>3377</v>
      </c>
      <c r="H339">
        <f t="shared" si="24"/>
        <v>0</v>
      </c>
      <c r="I339" s="9" t="str" cm="1">
        <f t="array" ref="I339">_xlfn.LET(_xlpm.total,SUM(D339:G339),_xlpm.maxv,MAX(D339:G339),IF(_xlpm.total=0,"",IF(_xlpm.maxv/_xlpm.total&lt;0.5,"Mixed-Class",_xlfn.IFS(_xlpm.maxv=D339,"Assault",_xlpm.maxv=E339,"Engineer",_xlpm.maxv=F339,"Recon",_xlpm.maxv=G339,"Support"))))</f>
        <v/>
      </c>
      <c r="J339" t="str">
        <f t="shared" si="25"/>
        <v/>
      </c>
      <c r="K339" s="10" t="str">
        <f t="shared" si="26"/>
        <v/>
      </c>
    </row>
    <row r="340" spans="2:11" x14ac:dyDescent="0.25">
      <c r="B340">
        <v>3387</v>
      </c>
      <c r="H340">
        <f t="shared" si="24"/>
        <v>0</v>
      </c>
      <c r="I340" s="9" t="str" cm="1">
        <f t="array" ref="I340">_xlfn.LET(_xlpm.total,SUM(D340:G340),_xlpm.maxv,MAX(D340:G340),IF(_xlpm.total=0,"",IF(_xlpm.maxv/_xlpm.total&lt;0.5,"Mixed-Class",_xlfn.IFS(_xlpm.maxv=D340,"Assault",_xlpm.maxv=E340,"Engineer",_xlpm.maxv=F340,"Recon",_xlpm.maxv=G340,"Support"))))</f>
        <v/>
      </c>
      <c r="J340" t="str">
        <f t="shared" si="25"/>
        <v/>
      </c>
      <c r="K340" s="10" t="str">
        <f t="shared" si="26"/>
        <v/>
      </c>
    </row>
    <row r="341" spans="2:11" x14ac:dyDescent="0.25">
      <c r="B341">
        <v>3397</v>
      </c>
      <c r="H341">
        <f t="shared" si="24"/>
        <v>0</v>
      </c>
      <c r="I341" s="9" t="str" cm="1">
        <f t="array" ref="I341">_xlfn.LET(_xlpm.total,SUM(D341:G341),_xlpm.maxv,MAX(D341:G341),IF(_xlpm.total=0,"",IF(_xlpm.maxv/_xlpm.total&lt;0.5,"Mixed-Class",_xlfn.IFS(_xlpm.maxv=D341,"Assault",_xlpm.maxv=E341,"Engineer",_xlpm.maxv=F341,"Recon",_xlpm.maxv=G341,"Support"))))</f>
        <v/>
      </c>
      <c r="J341" t="str">
        <f t="shared" si="25"/>
        <v/>
      </c>
      <c r="K341" s="10" t="str">
        <f t="shared" si="26"/>
        <v/>
      </c>
    </row>
    <row r="342" spans="2:11" x14ac:dyDescent="0.25">
      <c r="B342">
        <v>3407</v>
      </c>
      <c r="H342">
        <f t="shared" si="24"/>
        <v>0</v>
      </c>
      <c r="I342" s="9" t="str" cm="1">
        <f t="array" ref="I342">_xlfn.LET(_xlpm.total,SUM(D342:G342),_xlpm.maxv,MAX(D342:G342),IF(_xlpm.total=0,"",IF(_xlpm.maxv/_xlpm.total&lt;0.5,"Mixed-Class",_xlfn.IFS(_xlpm.maxv=D342,"Assault",_xlpm.maxv=E342,"Engineer",_xlpm.maxv=F342,"Recon",_xlpm.maxv=G342,"Support"))))</f>
        <v/>
      </c>
      <c r="J342" t="str">
        <f t="shared" si="25"/>
        <v/>
      </c>
      <c r="K342" s="10" t="str">
        <f t="shared" si="26"/>
        <v/>
      </c>
    </row>
    <row r="343" spans="2:11" x14ac:dyDescent="0.25">
      <c r="B343">
        <v>3417</v>
      </c>
      <c r="H343">
        <f t="shared" si="24"/>
        <v>0</v>
      </c>
      <c r="I343" s="9" t="str" cm="1">
        <f t="array" ref="I343">_xlfn.LET(_xlpm.total,SUM(D343:G343),_xlpm.maxv,MAX(D343:G343),IF(_xlpm.total=0,"",IF(_xlpm.maxv/_xlpm.total&lt;0.5,"Mixed-Class",_xlfn.IFS(_xlpm.maxv=D343,"Assault",_xlpm.maxv=E343,"Engineer",_xlpm.maxv=F343,"Recon",_xlpm.maxv=G343,"Support"))))</f>
        <v/>
      </c>
      <c r="J343" t="str">
        <f t="shared" si="25"/>
        <v/>
      </c>
      <c r="K343" s="10" t="str">
        <f t="shared" si="26"/>
        <v/>
      </c>
    </row>
    <row r="344" spans="2:11" x14ac:dyDescent="0.25">
      <c r="B344">
        <v>3427</v>
      </c>
      <c r="H344">
        <f t="shared" si="24"/>
        <v>0</v>
      </c>
      <c r="I344" s="9" t="str" cm="1">
        <f t="array" ref="I344">_xlfn.LET(_xlpm.total,SUM(D344:G344),_xlpm.maxv,MAX(D344:G344),IF(_xlpm.total=0,"",IF(_xlpm.maxv/_xlpm.total&lt;0.5,"Mixed-Class",_xlfn.IFS(_xlpm.maxv=D344,"Assault",_xlpm.maxv=E344,"Engineer",_xlpm.maxv=F344,"Recon",_xlpm.maxv=G344,"Support"))))</f>
        <v/>
      </c>
      <c r="J344" t="str">
        <f t="shared" si="25"/>
        <v/>
      </c>
      <c r="K344" s="10" t="str">
        <f t="shared" si="26"/>
        <v/>
      </c>
    </row>
    <row r="345" spans="2:11" x14ac:dyDescent="0.25">
      <c r="B345">
        <v>3437</v>
      </c>
      <c r="H345">
        <f t="shared" si="24"/>
        <v>0</v>
      </c>
      <c r="I345" s="9" t="str" cm="1">
        <f t="array" ref="I345">_xlfn.LET(_xlpm.total,SUM(D345:G345),_xlpm.maxv,MAX(D345:G345),IF(_xlpm.total=0,"",IF(_xlpm.maxv/_xlpm.total&lt;0.5,"Mixed-Class",_xlfn.IFS(_xlpm.maxv=D345,"Assault",_xlpm.maxv=E345,"Engineer",_xlpm.maxv=F345,"Recon",_xlpm.maxv=G345,"Support"))))</f>
        <v/>
      </c>
      <c r="J345" t="str">
        <f t="shared" si="25"/>
        <v/>
      </c>
      <c r="K345" s="10" t="str">
        <f t="shared" si="26"/>
        <v/>
      </c>
    </row>
    <row r="346" spans="2:11" x14ac:dyDescent="0.25">
      <c r="B346">
        <v>3447</v>
      </c>
      <c r="H346">
        <f t="shared" si="24"/>
        <v>0</v>
      </c>
      <c r="I346" s="9" t="str" cm="1">
        <f t="array" ref="I346">_xlfn.LET(_xlpm.total,SUM(D346:G346),_xlpm.maxv,MAX(D346:G346),IF(_xlpm.total=0,"",IF(_xlpm.maxv/_xlpm.total&lt;0.5,"Mixed-Class",_xlfn.IFS(_xlpm.maxv=D346,"Assault",_xlpm.maxv=E346,"Engineer",_xlpm.maxv=F346,"Recon",_xlpm.maxv=G346,"Support"))))</f>
        <v/>
      </c>
      <c r="J346" t="str">
        <f t="shared" si="25"/>
        <v/>
      </c>
      <c r="K346" s="10" t="str">
        <f t="shared" si="26"/>
        <v/>
      </c>
    </row>
    <row r="347" spans="2:11" x14ac:dyDescent="0.25">
      <c r="B347">
        <v>3457</v>
      </c>
      <c r="H347">
        <f t="shared" si="24"/>
        <v>0</v>
      </c>
      <c r="I347" s="9" t="str" cm="1">
        <f t="array" ref="I347">_xlfn.LET(_xlpm.total,SUM(D347:G347),_xlpm.maxv,MAX(D347:G347),IF(_xlpm.total=0,"",IF(_xlpm.maxv/_xlpm.total&lt;0.5,"Mixed-Class",_xlfn.IFS(_xlpm.maxv=D347,"Assault",_xlpm.maxv=E347,"Engineer",_xlpm.maxv=F347,"Recon",_xlpm.maxv=G347,"Support"))))</f>
        <v/>
      </c>
      <c r="J347" t="str">
        <f t="shared" si="25"/>
        <v/>
      </c>
      <c r="K347" s="10" t="str">
        <f t="shared" si="26"/>
        <v/>
      </c>
    </row>
    <row r="348" spans="2:11" x14ac:dyDescent="0.25">
      <c r="B348">
        <v>3467</v>
      </c>
      <c r="H348">
        <f t="shared" si="24"/>
        <v>0</v>
      </c>
      <c r="I348" s="9" t="str" cm="1">
        <f t="array" ref="I348">_xlfn.LET(_xlpm.total,SUM(D348:G348),_xlpm.maxv,MAX(D348:G348),IF(_xlpm.total=0,"",IF(_xlpm.maxv/_xlpm.total&lt;0.5,"Mixed-Class",_xlfn.IFS(_xlpm.maxv=D348,"Assault",_xlpm.maxv=E348,"Engineer",_xlpm.maxv=F348,"Recon",_xlpm.maxv=G348,"Support"))))</f>
        <v/>
      </c>
      <c r="J348" t="str">
        <f t="shared" si="25"/>
        <v/>
      </c>
      <c r="K348" s="10" t="str">
        <f t="shared" si="26"/>
        <v/>
      </c>
    </row>
    <row r="349" spans="2:11" x14ac:dyDescent="0.25">
      <c r="B349">
        <v>3477</v>
      </c>
      <c r="H349">
        <f t="shared" si="24"/>
        <v>0</v>
      </c>
      <c r="I349" s="9" t="str" cm="1">
        <f t="array" ref="I349">_xlfn.LET(_xlpm.total,SUM(D349:G349),_xlpm.maxv,MAX(D349:G349),IF(_xlpm.total=0,"",IF(_xlpm.maxv/_xlpm.total&lt;0.5,"Mixed-Class",_xlfn.IFS(_xlpm.maxv=D349,"Assault",_xlpm.maxv=E349,"Engineer",_xlpm.maxv=F349,"Recon",_xlpm.maxv=G349,"Support"))))</f>
        <v/>
      </c>
      <c r="J349" t="str">
        <f t="shared" si="25"/>
        <v/>
      </c>
      <c r="K349" s="10" t="str">
        <f t="shared" si="26"/>
        <v/>
      </c>
    </row>
    <row r="350" spans="2:11" x14ac:dyDescent="0.25">
      <c r="B350">
        <v>3487</v>
      </c>
      <c r="H350">
        <f t="shared" si="24"/>
        <v>0</v>
      </c>
      <c r="I350" s="9" t="str" cm="1">
        <f t="array" ref="I350">_xlfn.LET(_xlpm.total,SUM(D350:G350),_xlpm.maxv,MAX(D350:G350),IF(_xlpm.total=0,"",IF(_xlpm.maxv/_xlpm.total&lt;0.5,"Mixed-Class",_xlfn.IFS(_xlpm.maxv=D350,"Assault",_xlpm.maxv=E350,"Engineer",_xlpm.maxv=F350,"Recon",_xlpm.maxv=G350,"Support"))))</f>
        <v/>
      </c>
      <c r="J350" t="str">
        <f t="shared" si="25"/>
        <v/>
      </c>
      <c r="K350" s="10" t="str">
        <f t="shared" si="26"/>
        <v/>
      </c>
    </row>
    <row r="351" spans="2:11" x14ac:dyDescent="0.25">
      <c r="B351">
        <v>3497</v>
      </c>
      <c r="H351">
        <f t="shared" si="24"/>
        <v>0</v>
      </c>
      <c r="I351" s="9" t="str" cm="1">
        <f t="array" ref="I351">_xlfn.LET(_xlpm.total,SUM(D351:G351),_xlpm.maxv,MAX(D351:G351),IF(_xlpm.total=0,"",IF(_xlpm.maxv/_xlpm.total&lt;0.5,"Mixed-Class",_xlfn.IFS(_xlpm.maxv=D351,"Assault",_xlpm.maxv=E351,"Engineer",_xlpm.maxv=F351,"Recon",_xlpm.maxv=G351,"Support"))))</f>
        <v/>
      </c>
      <c r="J351" t="str">
        <f t="shared" si="25"/>
        <v/>
      </c>
      <c r="K351" s="10" t="str">
        <f t="shared" si="26"/>
        <v/>
      </c>
    </row>
    <row r="352" spans="2:11" x14ac:dyDescent="0.25">
      <c r="B352">
        <v>3507</v>
      </c>
      <c r="H352">
        <f t="shared" si="24"/>
        <v>0</v>
      </c>
      <c r="I352" s="9" t="str" cm="1">
        <f t="array" ref="I352">_xlfn.LET(_xlpm.total,SUM(D352:G352),_xlpm.maxv,MAX(D352:G352),IF(_xlpm.total=0,"",IF(_xlpm.maxv/_xlpm.total&lt;0.5,"Mixed-Class",_xlfn.IFS(_xlpm.maxv=D352,"Assault",_xlpm.maxv=E352,"Engineer",_xlpm.maxv=F352,"Recon",_xlpm.maxv=G352,"Support"))))</f>
        <v/>
      </c>
      <c r="J352" t="str">
        <f t="shared" si="25"/>
        <v/>
      </c>
      <c r="K352" s="10" t="str">
        <f t="shared" si="26"/>
        <v/>
      </c>
    </row>
    <row r="353" spans="2:11" x14ac:dyDescent="0.25">
      <c r="B353">
        <v>3517</v>
      </c>
      <c r="H353">
        <f t="shared" si="24"/>
        <v>0</v>
      </c>
      <c r="I353" s="9" t="str" cm="1">
        <f t="array" ref="I353">_xlfn.LET(_xlpm.total,SUM(D353:G353),_xlpm.maxv,MAX(D353:G353),IF(_xlpm.total=0,"",IF(_xlpm.maxv/_xlpm.total&lt;0.5,"Mixed-Class",_xlfn.IFS(_xlpm.maxv=D353,"Assault",_xlpm.maxv=E353,"Engineer",_xlpm.maxv=F353,"Recon",_xlpm.maxv=G353,"Support"))))</f>
        <v/>
      </c>
      <c r="J353" t="str">
        <f t="shared" si="25"/>
        <v/>
      </c>
      <c r="K353" s="10" t="str">
        <f t="shared" si="26"/>
        <v/>
      </c>
    </row>
    <row r="354" spans="2:11" x14ac:dyDescent="0.25">
      <c r="B354">
        <v>3527</v>
      </c>
      <c r="H354">
        <f t="shared" si="24"/>
        <v>0</v>
      </c>
      <c r="I354" s="9" t="str" cm="1">
        <f t="array" ref="I354">_xlfn.LET(_xlpm.total,SUM(D354:G354),_xlpm.maxv,MAX(D354:G354),IF(_xlpm.total=0,"",IF(_xlpm.maxv/_xlpm.total&lt;0.5,"Mixed-Class",_xlfn.IFS(_xlpm.maxv=D354,"Assault",_xlpm.maxv=E354,"Engineer",_xlpm.maxv=F354,"Recon",_xlpm.maxv=G354,"Support"))))</f>
        <v/>
      </c>
      <c r="J354" t="str">
        <f t="shared" si="25"/>
        <v/>
      </c>
      <c r="K354" s="10" t="str">
        <f t="shared" si="26"/>
        <v/>
      </c>
    </row>
    <row r="355" spans="2:11" x14ac:dyDescent="0.25">
      <c r="B355">
        <v>3537</v>
      </c>
      <c r="H355">
        <f t="shared" si="24"/>
        <v>0</v>
      </c>
      <c r="I355" s="9" t="str" cm="1">
        <f t="array" ref="I355">_xlfn.LET(_xlpm.total,SUM(D355:G355),_xlpm.maxv,MAX(D355:G355),IF(_xlpm.total=0,"",IF(_xlpm.maxv/_xlpm.total&lt;0.5,"Mixed-Class",_xlfn.IFS(_xlpm.maxv=D355,"Assault",_xlpm.maxv=E355,"Engineer",_xlpm.maxv=F355,"Recon",_xlpm.maxv=G355,"Support"))))</f>
        <v/>
      </c>
      <c r="J355" t="str">
        <f t="shared" si="25"/>
        <v/>
      </c>
      <c r="K355" s="10" t="str">
        <f t="shared" si="26"/>
        <v/>
      </c>
    </row>
    <row r="356" spans="2:11" x14ac:dyDescent="0.25">
      <c r="B356">
        <v>3547</v>
      </c>
      <c r="H356">
        <f t="shared" si="24"/>
        <v>0</v>
      </c>
      <c r="I356" s="9" t="str" cm="1">
        <f t="array" ref="I356">_xlfn.LET(_xlpm.total,SUM(D356:G356),_xlpm.maxv,MAX(D356:G356),IF(_xlpm.total=0,"",IF(_xlpm.maxv/_xlpm.total&lt;0.5,"Mixed-Class",_xlfn.IFS(_xlpm.maxv=D356,"Assault",_xlpm.maxv=E356,"Engineer",_xlpm.maxv=F356,"Recon",_xlpm.maxv=G356,"Support"))))</f>
        <v/>
      </c>
      <c r="J356" t="str">
        <f t="shared" si="25"/>
        <v/>
      </c>
      <c r="K356" s="10" t="str">
        <f t="shared" si="26"/>
        <v/>
      </c>
    </row>
    <row r="357" spans="2:11" x14ac:dyDescent="0.25">
      <c r="B357">
        <v>3557</v>
      </c>
      <c r="H357">
        <f t="shared" si="24"/>
        <v>0</v>
      </c>
      <c r="I357" s="9" t="str" cm="1">
        <f t="array" ref="I357">_xlfn.LET(_xlpm.total,SUM(D357:G357),_xlpm.maxv,MAX(D357:G357),IF(_xlpm.total=0,"",IF(_xlpm.maxv/_xlpm.total&lt;0.5,"Mixed-Class",_xlfn.IFS(_xlpm.maxv=D357,"Assault",_xlpm.maxv=E357,"Engineer",_xlpm.maxv=F357,"Recon",_xlpm.maxv=G357,"Support"))))</f>
        <v/>
      </c>
      <c r="J357" t="str">
        <f t="shared" si="25"/>
        <v/>
      </c>
      <c r="K357" s="10" t="str">
        <f t="shared" si="26"/>
        <v/>
      </c>
    </row>
    <row r="358" spans="2:11" x14ac:dyDescent="0.25">
      <c r="B358">
        <v>3567</v>
      </c>
      <c r="H358">
        <f t="shared" si="24"/>
        <v>0</v>
      </c>
      <c r="I358" s="9" t="str" cm="1">
        <f t="array" ref="I358">_xlfn.LET(_xlpm.total,SUM(D358:G358),_xlpm.maxv,MAX(D358:G358),IF(_xlpm.total=0,"",IF(_xlpm.maxv/_xlpm.total&lt;0.5,"Mixed-Class",_xlfn.IFS(_xlpm.maxv=D358,"Assault",_xlpm.maxv=E358,"Engineer",_xlpm.maxv=F358,"Recon",_xlpm.maxv=G358,"Support"))))</f>
        <v/>
      </c>
      <c r="J358" t="str">
        <f t="shared" si="25"/>
        <v/>
      </c>
      <c r="K358" s="10" t="str">
        <f t="shared" si="26"/>
        <v/>
      </c>
    </row>
    <row r="359" spans="2:11" x14ac:dyDescent="0.25">
      <c r="B359">
        <v>3577</v>
      </c>
      <c r="H359">
        <f t="shared" si="24"/>
        <v>0</v>
      </c>
      <c r="I359" s="9" t="str" cm="1">
        <f t="array" ref="I359">_xlfn.LET(_xlpm.total,SUM(D359:G359),_xlpm.maxv,MAX(D359:G359),IF(_xlpm.total=0,"",IF(_xlpm.maxv/_xlpm.total&lt;0.5,"Mixed-Class",_xlfn.IFS(_xlpm.maxv=D359,"Assault",_xlpm.maxv=E359,"Engineer",_xlpm.maxv=F359,"Recon",_xlpm.maxv=G359,"Support"))))</f>
        <v/>
      </c>
      <c r="J359" t="str">
        <f t="shared" si="25"/>
        <v/>
      </c>
      <c r="K359" s="10" t="str">
        <f t="shared" si="26"/>
        <v/>
      </c>
    </row>
    <row r="360" spans="2:11" x14ac:dyDescent="0.25">
      <c r="B360">
        <v>3587</v>
      </c>
      <c r="H360">
        <f t="shared" si="24"/>
        <v>0</v>
      </c>
      <c r="I360" s="9" t="str" cm="1">
        <f t="array" ref="I360">_xlfn.LET(_xlpm.total,SUM(D360:G360),_xlpm.maxv,MAX(D360:G360),IF(_xlpm.total=0,"",IF(_xlpm.maxv/_xlpm.total&lt;0.5,"Mixed-Class",_xlfn.IFS(_xlpm.maxv=D360,"Assault",_xlpm.maxv=E360,"Engineer",_xlpm.maxv=F360,"Recon",_xlpm.maxv=G360,"Support"))))</f>
        <v/>
      </c>
      <c r="J360" t="str">
        <f t="shared" si="25"/>
        <v/>
      </c>
      <c r="K360" s="10" t="str">
        <f t="shared" si="26"/>
        <v/>
      </c>
    </row>
    <row r="361" spans="2:11" x14ac:dyDescent="0.25">
      <c r="B361">
        <v>3597</v>
      </c>
      <c r="H361">
        <f t="shared" si="24"/>
        <v>0</v>
      </c>
      <c r="I361" s="9" t="str" cm="1">
        <f t="array" ref="I361">_xlfn.LET(_xlpm.total,SUM(D361:G361),_xlpm.maxv,MAX(D361:G361),IF(_xlpm.total=0,"",IF(_xlpm.maxv/_xlpm.total&lt;0.5,"Mixed-Class",_xlfn.IFS(_xlpm.maxv=D361,"Assault",_xlpm.maxv=E361,"Engineer",_xlpm.maxv=F361,"Recon",_xlpm.maxv=G361,"Support"))))</f>
        <v/>
      </c>
      <c r="J361" t="str">
        <f t="shared" si="25"/>
        <v/>
      </c>
      <c r="K361" s="10" t="str">
        <f t="shared" si="26"/>
        <v/>
      </c>
    </row>
    <row r="362" spans="2:11" x14ac:dyDescent="0.25">
      <c r="B362">
        <v>3607</v>
      </c>
      <c r="H362">
        <f t="shared" si="24"/>
        <v>0</v>
      </c>
      <c r="I362" s="9" t="str" cm="1">
        <f t="array" ref="I362">_xlfn.LET(_xlpm.total,SUM(D362:G362),_xlpm.maxv,MAX(D362:G362),IF(_xlpm.total=0,"",IF(_xlpm.maxv/_xlpm.total&lt;0.5,"Mixed-Class",_xlfn.IFS(_xlpm.maxv=D362,"Assault",_xlpm.maxv=E362,"Engineer",_xlpm.maxv=F362,"Recon",_xlpm.maxv=G362,"Support"))))</f>
        <v/>
      </c>
      <c r="J362" t="str">
        <f t="shared" si="25"/>
        <v/>
      </c>
      <c r="K362" s="10" t="str">
        <f t="shared" si="26"/>
        <v/>
      </c>
    </row>
    <row r="363" spans="2:11" x14ac:dyDescent="0.25">
      <c r="B363">
        <v>3617</v>
      </c>
      <c r="H363">
        <f t="shared" si="24"/>
        <v>0</v>
      </c>
      <c r="I363" s="9" t="str" cm="1">
        <f t="array" ref="I363">_xlfn.LET(_xlpm.total,SUM(D363:G363),_xlpm.maxv,MAX(D363:G363),IF(_xlpm.total=0,"",IF(_xlpm.maxv/_xlpm.total&lt;0.5,"Mixed-Class",_xlfn.IFS(_xlpm.maxv=D363,"Assault",_xlpm.maxv=E363,"Engineer",_xlpm.maxv=F363,"Recon",_xlpm.maxv=G363,"Support"))))</f>
        <v/>
      </c>
      <c r="J363" t="str">
        <f t="shared" si="25"/>
        <v/>
      </c>
      <c r="K363" s="10" t="str">
        <f t="shared" si="26"/>
        <v/>
      </c>
    </row>
    <row r="364" spans="2:11" x14ac:dyDescent="0.25">
      <c r="B364">
        <v>3627</v>
      </c>
      <c r="H364">
        <f t="shared" si="24"/>
        <v>0</v>
      </c>
      <c r="I364" s="9" t="str" cm="1">
        <f t="array" ref="I364">_xlfn.LET(_xlpm.total,SUM(D364:G364),_xlpm.maxv,MAX(D364:G364),IF(_xlpm.total=0,"",IF(_xlpm.maxv/_xlpm.total&lt;0.5,"Mixed-Class",_xlfn.IFS(_xlpm.maxv=D364,"Assault",_xlpm.maxv=E364,"Engineer",_xlpm.maxv=F364,"Recon",_xlpm.maxv=G364,"Support"))))</f>
        <v/>
      </c>
      <c r="J364" t="str">
        <f t="shared" si="25"/>
        <v/>
      </c>
      <c r="K364" s="10" t="str">
        <f t="shared" si="26"/>
        <v/>
      </c>
    </row>
    <row r="365" spans="2:11" x14ac:dyDescent="0.25">
      <c r="B365">
        <v>3637</v>
      </c>
      <c r="H365">
        <f t="shared" si="24"/>
        <v>0</v>
      </c>
      <c r="I365" s="9" t="str" cm="1">
        <f t="array" ref="I365">_xlfn.LET(_xlpm.total,SUM(D365:G365),_xlpm.maxv,MAX(D365:G365),IF(_xlpm.total=0,"",IF(_xlpm.maxv/_xlpm.total&lt;0.5,"Mixed-Class",_xlfn.IFS(_xlpm.maxv=D365,"Assault",_xlpm.maxv=E365,"Engineer",_xlpm.maxv=F365,"Recon",_xlpm.maxv=G365,"Support"))))</f>
        <v/>
      </c>
      <c r="J365" t="str">
        <f t="shared" si="25"/>
        <v/>
      </c>
      <c r="K365" s="10" t="str">
        <f t="shared" si="26"/>
        <v/>
      </c>
    </row>
    <row r="366" spans="2:11" x14ac:dyDescent="0.25">
      <c r="B366">
        <v>3647</v>
      </c>
      <c r="H366">
        <f t="shared" si="24"/>
        <v>0</v>
      </c>
      <c r="I366" s="9" t="str" cm="1">
        <f t="array" ref="I366">_xlfn.LET(_xlpm.total,SUM(D366:G366),_xlpm.maxv,MAX(D366:G366),IF(_xlpm.total=0,"",IF(_xlpm.maxv/_xlpm.total&lt;0.5,"Mixed-Class",_xlfn.IFS(_xlpm.maxv=D366,"Assault",_xlpm.maxv=E366,"Engineer",_xlpm.maxv=F366,"Recon",_xlpm.maxv=G366,"Support"))))</f>
        <v/>
      </c>
      <c r="J366" t="str">
        <f t="shared" si="25"/>
        <v/>
      </c>
      <c r="K366" s="10" t="str">
        <f t="shared" si="26"/>
        <v/>
      </c>
    </row>
    <row r="367" spans="2:11" x14ac:dyDescent="0.25">
      <c r="B367">
        <v>3657</v>
      </c>
      <c r="H367">
        <f t="shared" si="24"/>
        <v>0</v>
      </c>
      <c r="I367" s="9" t="str" cm="1">
        <f t="array" ref="I367">_xlfn.LET(_xlpm.total,SUM(D367:G367),_xlpm.maxv,MAX(D367:G367),IF(_xlpm.total=0,"",IF(_xlpm.maxv/_xlpm.total&lt;0.5,"Mixed-Class",_xlfn.IFS(_xlpm.maxv=D367,"Assault",_xlpm.maxv=E367,"Engineer",_xlpm.maxv=F367,"Recon",_xlpm.maxv=G367,"Support"))))</f>
        <v/>
      </c>
      <c r="J367" t="str">
        <f t="shared" si="25"/>
        <v/>
      </c>
      <c r="K367" s="10" t="str">
        <f t="shared" si="26"/>
        <v/>
      </c>
    </row>
    <row r="368" spans="2:11" x14ac:dyDescent="0.25">
      <c r="B368">
        <v>3667</v>
      </c>
      <c r="H368">
        <f t="shared" si="24"/>
        <v>0</v>
      </c>
      <c r="I368" s="9" t="str" cm="1">
        <f t="array" ref="I368">_xlfn.LET(_xlpm.total,SUM(D368:G368),_xlpm.maxv,MAX(D368:G368),IF(_xlpm.total=0,"",IF(_xlpm.maxv/_xlpm.total&lt;0.5,"Mixed-Class",_xlfn.IFS(_xlpm.maxv=D368,"Assault",_xlpm.maxv=E368,"Engineer",_xlpm.maxv=F368,"Recon",_xlpm.maxv=G368,"Support"))))</f>
        <v/>
      </c>
      <c r="J368" t="str">
        <f t="shared" si="25"/>
        <v/>
      </c>
      <c r="K368" s="10" t="str">
        <f t="shared" si="26"/>
        <v/>
      </c>
    </row>
    <row r="369" spans="2:11" x14ac:dyDescent="0.25">
      <c r="B369">
        <v>3677</v>
      </c>
      <c r="H369">
        <f t="shared" si="24"/>
        <v>0</v>
      </c>
      <c r="I369" s="9" t="str" cm="1">
        <f t="array" ref="I369">_xlfn.LET(_xlpm.total,SUM(D369:G369),_xlpm.maxv,MAX(D369:G369),IF(_xlpm.total=0,"",IF(_xlpm.maxv/_xlpm.total&lt;0.5,"Mixed-Class",_xlfn.IFS(_xlpm.maxv=D369,"Assault",_xlpm.maxv=E369,"Engineer",_xlpm.maxv=F369,"Recon",_xlpm.maxv=G369,"Support"))))</f>
        <v/>
      </c>
      <c r="J369" t="str">
        <f t="shared" si="25"/>
        <v/>
      </c>
      <c r="K369" s="10" t="str">
        <f t="shared" si="26"/>
        <v/>
      </c>
    </row>
    <row r="370" spans="2:11" x14ac:dyDescent="0.25">
      <c r="B370">
        <v>3687</v>
      </c>
      <c r="H370">
        <f t="shared" si="24"/>
        <v>0</v>
      </c>
      <c r="I370" s="9" t="str" cm="1">
        <f t="array" ref="I370">_xlfn.LET(_xlpm.total,SUM(D370:G370),_xlpm.maxv,MAX(D370:G370),IF(_xlpm.total=0,"",IF(_xlpm.maxv/_xlpm.total&lt;0.5,"Mixed-Class",_xlfn.IFS(_xlpm.maxv=D370,"Assault",_xlpm.maxv=E370,"Engineer",_xlpm.maxv=F370,"Recon",_xlpm.maxv=G370,"Support"))))</f>
        <v/>
      </c>
      <c r="J370" t="str">
        <f t="shared" si="25"/>
        <v/>
      </c>
      <c r="K370" s="10" t="str">
        <f t="shared" si="26"/>
        <v/>
      </c>
    </row>
    <row r="371" spans="2:11" x14ac:dyDescent="0.25">
      <c r="B371">
        <v>3697</v>
      </c>
      <c r="H371">
        <f t="shared" si="24"/>
        <v>0</v>
      </c>
      <c r="I371" s="9" t="str" cm="1">
        <f t="array" ref="I371">_xlfn.LET(_xlpm.total,SUM(D371:G371),_xlpm.maxv,MAX(D371:G371),IF(_xlpm.total=0,"",IF(_xlpm.maxv/_xlpm.total&lt;0.5,"Mixed-Class",_xlfn.IFS(_xlpm.maxv=D371,"Assault",_xlpm.maxv=E371,"Engineer",_xlpm.maxv=F371,"Recon",_xlpm.maxv=G371,"Support"))))</f>
        <v/>
      </c>
      <c r="J371" t="str">
        <f t="shared" si="25"/>
        <v/>
      </c>
      <c r="K371" s="10" t="str">
        <f t="shared" si="26"/>
        <v/>
      </c>
    </row>
    <row r="372" spans="2:11" x14ac:dyDescent="0.25">
      <c r="B372">
        <v>3707</v>
      </c>
      <c r="H372">
        <f t="shared" si="24"/>
        <v>0</v>
      </c>
      <c r="I372" s="9" t="str" cm="1">
        <f t="array" ref="I372">_xlfn.LET(_xlpm.total,SUM(D372:G372),_xlpm.maxv,MAX(D372:G372),IF(_xlpm.total=0,"",IF(_xlpm.maxv/_xlpm.total&lt;0.5,"Mixed-Class",_xlfn.IFS(_xlpm.maxv=D372,"Assault",_xlpm.maxv=E372,"Engineer",_xlpm.maxv=F372,"Recon",_xlpm.maxv=G372,"Support"))))</f>
        <v/>
      </c>
      <c r="J372" t="str">
        <f t="shared" si="25"/>
        <v/>
      </c>
      <c r="K372" s="10" t="str">
        <f t="shared" si="26"/>
        <v/>
      </c>
    </row>
    <row r="373" spans="2:11" x14ac:dyDescent="0.25">
      <c r="B373">
        <v>3717</v>
      </c>
      <c r="H373">
        <f t="shared" si="24"/>
        <v>0</v>
      </c>
      <c r="I373" s="9" t="str" cm="1">
        <f t="array" ref="I373">_xlfn.LET(_xlpm.total,SUM(D373:G373),_xlpm.maxv,MAX(D373:G373),IF(_xlpm.total=0,"",IF(_xlpm.maxv/_xlpm.total&lt;0.5,"Mixed-Class",_xlfn.IFS(_xlpm.maxv=D373,"Assault",_xlpm.maxv=E373,"Engineer",_xlpm.maxv=F373,"Recon",_xlpm.maxv=G373,"Support"))))</f>
        <v/>
      </c>
      <c r="J373" t="str">
        <f t="shared" si="25"/>
        <v/>
      </c>
      <c r="K373" s="10" t="str">
        <f t="shared" si="26"/>
        <v/>
      </c>
    </row>
    <row r="374" spans="2:11" x14ac:dyDescent="0.25">
      <c r="B374">
        <v>3727</v>
      </c>
      <c r="H374">
        <f t="shared" si="24"/>
        <v>0</v>
      </c>
      <c r="I374" s="9" t="str" cm="1">
        <f t="array" ref="I374">_xlfn.LET(_xlpm.total,SUM(D374:G374),_xlpm.maxv,MAX(D374:G374),IF(_xlpm.total=0,"",IF(_xlpm.maxv/_xlpm.total&lt;0.5,"Mixed-Class",_xlfn.IFS(_xlpm.maxv=D374,"Assault",_xlpm.maxv=E374,"Engineer",_xlpm.maxv=F374,"Recon",_xlpm.maxv=G374,"Support"))))</f>
        <v/>
      </c>
      <c r="J374" t="str">
        <f t="shared" si="25"/>
        <v/>
      </c>
      <c r="K374" s="10" t="str">
        <f t="shared" si="26"/>
        <v/>
      </c>
    </row>
    <row r="375" spans="2:11" x14ac:dyDescent="0.25">
      <c r="B375">
        <v>3737</v>
      </c>
      <c r="H375">
        <f t="shared" si="24"/>
        <v>0</v>
      </c>
      <c r="I375" s="9" t="str" cm="1">
        <f t="array" ref="I375">_xlfn.LET(_xlpm.total,SUM(D375:G375),_xlpm.maxv,MAX(D375:G375),IF(_xlpm.total=0,"",IF(_xlpm.maxv/_xlpm.total&lt;0.5,"Mixed-Class",_xlfn.IFS(_xlpm.maxv=D375,"Assault",_xlpm.maxv=E375,"Engineer",_xlpm.maxv=F375,"Recon",_xlpm.maxv=G375,"Support"))))</f>
        <v/>
      </c>
      <c r="J375" t="str">
        <f t="shared" si="25"/>
        <v/>
      </c>
      <c r="K375" s="10" t="str">
        <f t="shared" si="26"/>
        <v/>
      </c>
    </row>
    <row r="376" spans="2:11" x14ac:dyDescent="0.25">
      <c r="B376">
        <v>3747</v>
      </c>
      <c r="H376">
        <f t="shared" si="24"/>
        <v>0</v>
      </c>
      <c r="I376" s="9" t="str" cm="1">
        <f t="array" ref="I376">_xlfn.LET(_xlpm.total,SUM(D376:G376),_xlpm.maxv,MAX(D376:G376),IF(_xlpm.total=0,"",IF(_xlpm.maxv/_xlpm.total&lt;0.5,"Mixed-Class",_xlfn.IFS(_xlpm.maxv=D376,"Assault",_xlpm.maxv=E376,"Engineer",_xlpm.maxv=F376,"Recon",_xlpm.maxv=G376,"Support"))))</f>
        <v/>
      </c>
      <c r="J376" t="str">
        <f t="shared" si="25"/>
        <v/>
      </c>
      <c r="K376" s="10" t="str">
        <f t="shared" si="26"/>
        <v/>
      </c>
    </row>
    <row r="377" spans="2:11" x14ac:dyDescent="0.25">
      <c r="B377">
        <v>3757</v>
      </c>
      <c r="H377">
        <f t="shared" si="24"/>
        <v>0</v>
      </c>
      <c r="I377" s="9" t="str" cm="1">
        <f t="array" ref="I377">_xlfn.LET(_xlpm.total,SUM(D377:G377),_xlpm.maxv,MAX(D377:G377),IF(_xlpm.total=0,"",IF(_xlpm.maxv/_xlpm.total&lt;0.5,"Mixed-Class",_xlfn.IFS(_xlpm.maxv=D377,"Assault",_xlpm.maxv=E377,"Engineer",_xlpm.maxv=F377,"Recon",_xlpm.maxv=G377,"Support"))))</f>
        <v/>
      </c>
      <c r="J377" t="str">
        <f t="shared" si="25"/>
        <v/>
      </c>
      <c r="K377" s="10" t="str">
        <f t="shared" si="26"/>
        <v/>
      </c>
    </row>
    <row r="378" spans="2:11" x14ac:dyDescent="0.25">
      <c r="B378">
        <v>3767</v>
      </c>
      <c r="H378">
        <f t="shared" si="24"/>
        <v>0</v>
      </c>
      <c r="I378" s="9" t="str" cm="1">
        <f t="array" ref="I378">_xlfn.LET(_xlpm.total,SUM(D378:G378),_xlpm.maxv,MAX(D378:G378),IF(_xlpm.total=0,"",IF(_xlpm.maxv/_xlpm.total&lt;0.5,"Mixed-Class",_xlfn.IFS(_xlpm.maxv=D378,"Assault",_xlpm.maxv=E378,"Engineer",_xlpm.maxv=F378,"Recon",_xlpm.maxv=G378,"Support"))))</f>
        <v/>
      </c>
      <c r="J378" t="str">
        <f t="shared" si="25"/>
        <v/>
      </c>
      <c r="K378" s="10" t="str">
        <f t="shared" si="26"/>
        <v/>
      </c>
    </row>
    <row r="379" spans="2:11" x14ac:dyDescent="0.25">
      <c r="B379">
        <v>3777</v>
      </c>
      <c r="H379">
        <f t="shared" si="24"/>
        <v>0</v>
      </c>
      <c r="I379" s="9" t="str" cm="1">
        <f t="array" ref="I379">_xlfn.LET(_xlpm.total,SUM(D379:G379),_xlpm.maxv,MAX(D379:G379),IF(_xlpm.total=0,"",IF(_xlpm.maxv/_xlpm.total&lt;0.5,"Mixed-Class",_xlfn.IFS(_xlpm.maxv=D379,"Assault",_xlpm.maxv=E379,"Engineer",_xlpm.maxv=F379,"Recon",_xlpm.maxv=G379,"Support"))))</f>
        <v/>
      </c>
      <c r="J379" t="str">
        <f t="shared" si="25"/>
        <v/>
      </c>
      <c r="K379" s="10" t="str">
        <f t="shared" si="26"/>
        <v/>
      </c>
    </row>
    <row r="380" spans="2:11" x14ac:dyDescent="0.25">
      <c r="B380">
        <v>3787</v>
      </c>
      <c r="H380">
        <f t="shared" si="24"/>
        <v>0</v>
      </c>
      <c r="I380" s="9" t="str" cm="1">
        <f t="array" ref="I380">_xlfn.LET(_xlpm.total,SUM(D380:G380),_xlpm.maxv,MAX(D380:G380),IF(_xlpm.total=0,"",IF(_xlpm.maxv/_xlpm.total&lt;0.5,"Mixed-Class",_xlfn.IFS(_xlpm.maxv=D380,"Assault",_xlpm.maxv=E380,"Engineer",_xlpm.maxv=F380,"Recon",_xlpm.maxv=G380,"Support"))))</f>
        <v/>
      </c>
      <c r="J380" t="str">
        <f t="shared" si="25"/>
        <v/>
      </c>
      <c r="K380" s="10" t="str">
        <f t="shared" si="26"/>
        <v/>
      </c>
    </row>
    <row r="381" spans="2:11" x14ac:dyDescent="0.25">
      <c r="B381">
        <v>3797</v>
      </c>
      <c r="H381">
        <f t="shared" si="24"/>
        <v>0</v>
      </c>
      <c r="I381" s="9" t="str" cm="1">
        <f t="array" ref="I381">_xlfn.LET(_xlpm.total,SUM(D381:G381),_xlpm.maxv,MAX(D381:G381),IF(_xlpm.total=0,"",IF(_xlpm.maxv/_xlpm.total&lt;0.5,"Mixed-Class",_xlfn.IFS(_xlpm.maxv=D381,"Assault",_xlpm.maxv=E381,"Engineer",_xlpm.maxv=F381,"Recon",_xlpm.maxv=G381,"Support"))))</f>
        <v/>
      </c>
      <c r="J381" t="str">
        <f t="shared" si="25"/>
        <v/>
      </c>
      <c r="K381" s="10" t="str">
        <f t="shared" si="26"/>
        <v/>
      </c>
    </row>
    <row r="382" spans="2:11" x14ac:dyDescent="0.25">
      <c r="B382">
        <v>3807</v>
      </c>
      <c r="H382">
        <f t="shared" si="24"/>
        <v>0</v>
      </c>
      <c r="I382" s="9" t="str" cm="1">
        <f t="array" ref="I382">_xlfn.LET(_xlpm.total,SUM(D382:G382),_xlpm.maxv,MAX(D382:G382),IF(_xlpm.total=0,"",IF(_xlpm.maxv/_xlpm.total&lt;0.5,"Mixed-Class",_xlfn.IFS(_xlpm.maxv=D382,"Assault",_xlpm.maxv=E382,"Engineer",_xlpm.maxv=F382,"Recon",_xlpm.maxv=G382,"Support"))))</f>
        <v/>
      </c>
      <c r="J382" t="str">
        <f t="shared" si="25"/>
        <v/>
      </c>
      <c r="K382" s="10" t="str">
        <f t="shared" si="26"/>
        <v/>
      </c>
    </row>
    <row r="383" spans="2:11" x14ac:dyDescent="0.25">
      <c r="B383">
        <v>3817</v>
      </c>
      <c r="H383">
        <f t="shared" si="24"/>
        <v>0</v>
      </c>
      <c r="I383" s="9" t="str" cm="1">
        <f t="array" ref="I383">_xlfn.LET(_xlpm.total,SUM(D383:G383),_xlpm.maxv,MAX(D383:G383),IF(_xlpm.total=0,"",IF(_xlpm.maxv/_xlpm.total&lt;0.5,"Mixed-Class",_xlfn.IFS(_xlpm.maxv=D383,"Assault",_xlpm.maxv=E383,"Engineer",_xlpm.maxv=F383,"Recon",_xlpm.maxv=G383,"Support"))))</f>
        <v/>
      </c>
      <c r="J383" t="str">
        <f t="shared" si="25"/>
        <v/>
      </c>
      <c r="K383" s="10" t="str">
        <f t="shared" si="26"/>
        <v/>
      </c>
    </row>
    <row r="384" spans="2:11" x14ac:dyDescent="0.25">
      <c r="B384">
        <v>3827</v>
      </c>
      <c r="H384">
        <f t="shared" si="24"/>
        <v>0</v>
      </c>
      <c r="I384" s="9" t="str" cm="1">
        <f t="array" ref="I384">_xlfn.LET(_xlpm.total,SUM(D384:G384),_xlpm.maxv,MAX(D384:G384),IF(_xlpm.total=0,"",IF(_xlpm.maxv/_xlpm.total&lt;0.5,"Mixed-Class",_xlfn.IFS(_xlpm.maxv=D384,"Assault",_xlpm.maxv=E384,"Engineer",_xlpm.maxv=F384,"Recon",_xlpm.maxv=G384,"Support"))))</f>
        <v/>
      </c>
      <c r="J384" t="str">
        <f t="shared" si="25"/>
        <v/>
      </c>
      <c r="K384" s="10" t="str">
        <f t="shared" si="26"/>
        <v/>
      </c>
    </row>
    <row r="385" spans="2:11" x14ac:dyDescent="0.25">
      <c r="B385">
        <v>3837</v>
      </c>
      <c r="H385">
        <f t="shared" si="24"/>
        <v>0</v>
      </c>
      <c r="I385" s="9" t="str" cm="1">
        <f t="array" ref="I385">_xlfn.LET(_xlpm.total,SUM(D385:G385),_xlpm.maxv,MAX(D385:G385),IF(_xlpm.total=0,"",IF(_xlpm.maxv/_xlpm.total&lt;0.5,"Mixed-Class",_xlfn.IFS(_xlpm.maxv=D385,"Assault",_xlpm.maxv=E385,"Engineer",_xlpm.maxv=F385,"Recon",_xlpm.maxv=G385,"Support"))))</f>
        <v/>
      </c>
      <c r="J385" t="str">
        <f t="shared" si="25"/>
        <v/>
      </c>
      <c r="K385" s="10" t="str">
        <f t="shared" si="26"/>
        <v/>
      </c>
    </row>
    <row r="386" spans="2:11" x14ac:dyDescent="0.25">
      <c r="B386">
        <v>3847</v>
      </c>
      <c r="H386">
        <f t="shared" si="24"/>
        <v>0</v>
      </c>
      <c r="I386" s="9" t="str" cm="1">
        <f t="array" ref="I386">_xlfn.LET(_xlpm.total,SUM(D386:G386),_xlpm.maxv,MAX(D386:G386),IF(_xlpm.total=0,"",IF(_xlpm.maxv/_xlpm.total&lt;0.5,"Mixed-Class",_xlfn.IFS(_xlpm.maxv=D386,"Assault",_xlpm.maxv=E386,"Engineer",_xlpm.maxv=F386,"Recon",_xlpm.maxv=G386,"Support"))))</f>
        <v/>
      </c>
      <c r="J386" t="str">
        <f t="shared" si="25"/>
        <v/>
      </c>
      <c r="K386" s="10" t="str">
        <f t="shared" si="26"/>
        <v/>
      </c>
    </row>
    <row r="387" spans="2:11" x14ac:dyDescent="0.25">
      <c r="B387">
        <v>3857</v>
      </c>
      <c r="H387">
        <f t="shared" ref="H387:H450" si="27">SUM(D387:G387)</f>
        <v>0</v>
      </c>
      <c r="I387" s="9" t="str" cm="1">
        <f t="array" ref="I387">_xlfn.LET(_xlpm.total,SUM(D387:G387),_xlpm.maxv,MAX(D387:G387),IF(_xlpm.total=0,"",IF(_xlpm.maxv/_xlpm.total&lt;0.5,"Mixed-Class",_xlfn.IFS(_xlpm.maxv=D387,"Assault",_xlpm.maxv=E387,"Engineer",_xlpm.maxv=F387,"Recon",_xlpm.maxv=G387,"Support"))))</f>
        <v/>
      </c>
      <c r="J387" t="str">
        <f t="shared" ref="J387:J450" si="28">_xlfn.LET(_xlpm.total,SUM(D387:G387),IF(_xlpm.total=0,"",MAX(D387:G387)/_xlpm.total&gt;=0.5))</f>
        <v/>
      </c>
      <c r="K387" s="10" t="str">
        <f t="shared" ref="K387:K450" si="29">_xlfn.LET(_xlpm.total,SUM(D387:G387),IF(_xlpm.total=0,"",MAX(D387:G387)/_xlpm.total))</f>
        <v/>
      </c>
    </row>
    <row r="388" spans="2:11" x14ac:dyDescent="0.25">
      <c r="B388">
        <v>3867</v>
      </c>
      <c r="H388">
        <f t="shared" si="27"/>
        <v>0</v>
      </c>
      <c r="I388" s="9" t="str" cm="1">
        <f t="array" ref="I388">_xlfn.LET(_xlpm.total,SUM(D388:G388),_xlpm.maxv,MAX(D388:G388),IF(_xlpm.total=0,"",IF(_xlpm.maxv/_xlpm.total&lt;0.5,"Mixed-Class",_xlfn.IFS(_xlpm.maxv=D388,"Assault",_xlpm.maxv=E388,"Engineer",_xlpm.maxv=F388,"Recon",_xlpm.maxv=G388,"Support"))))</f>
        <v/>
      </c>
      <c r="J388" t="str">
        <f t="shared" si="28"/>
        <v/>
      </c>
      <c r="K388" s="10" t="str">
        <f t="shared" si="29"/>
        <v/>
      </c>
    </row>
    <row r="389" spans="2:11" x14ac:dyDescent="0.25">
      <c r="B389">
        <v>3877</v>
      </c>
      <c r="H389">
        <f t="shared" si="27"/>
        <v>0</v>
      </c>
      <c r="I389" s="9" t="str" cm="1">
        <f t="array" ref="I389">_xlfn.LET(_xlpm.total,SUM(D389:G389),_xlpm.maxv,MAX(D389:G389),IF(_xlpm.total=0,"",IF(_xlpm.maxv/_xlpm.total&lt;0.5,"Mixed-Class",_xlfn.IFS(_xlpm.maxv=D389,"Assault",_xlpm.maxv=E389,"Engineer",_xlpm.maxv=F389,"Recon",_xlpm.maxv=G389,"Support"))))</f>
        <v/>
      </c>
      <c r="J389" t="str">
        <f t="shared" si="28"/>
        <v/>
      </c>
      <c r="K389" s="10" t="str">
        <f t="shared" si="29"/>
        <v/>
      </c>
    </row>
    <row r="390" spans="2:11" x14ac:dyDescent="0.25">
      <c r="B390">
        <v>3887</v>
      </c>
      <c r="H390">
        <f t="shared" si="27"/>
        <v>0</v>
      </c>
      <c r="I390" s="9" t="str" cm="1">
        <f t="array" ref="I390">_xlfn.LET(_xlpm.total,SUM(D390:G390),_xlpm.maxv,MAX(D390:G390),IF(_xlpm.total=0,"",IF(_xlpm.maxv/_xlpm.total&lt;0.5,"Mixed-Class",_xlfn.IFS(_xlpm.maxv=D390,"Assault",_xlpm.maxv=E390,"Engineer",_xlpm.maxv=F390,"Recon",_xlpm.maxv=G390,"Support"))))</f>
        <v/>
      </c>
      <c r="J390" t="str">
        <f t="shared" si="28"/>
        <v/>
      </c>
      <c r="K390" s="10" t="str">
        <f t="shared" si="29"/>
        <v/>
      </c>
    </row>
    <row r="391" spans="2:11" x14ac:dyDescent="0.25">
      <c r="B391">
        <v>3897</v>
      </c>
      <c r="H391">
        <f t="shared" si="27"/>
        <v>0</v>
      </c>
      <c r="I391" s="9" t="str" cm="1">
        <f t="array" ref="I391">_xlfn.LET(_xlpm.total,SUM(D391:G391),_xlpm.maxv,MAX(D391:G391),IF(_xlpm.total=0,"",IF(_xlpm.maxv/_xlpm.total&lt;0.5,"Mixed-Class",_xlfn.IFS(_xlpm.maxv=D391,"Assault",_xlpm.maxv=E391,"Engineer",_xlpm.maxv=F391,"Recon",_xlpm.maxv=G391,"Support"))))</f>
        <v/>
      </c>
      <c r="J391" t="str">
        <f t="shared" si="28"/>
        <v/>
      </c>
      <c r="K391" s="10" t="str">
        <f t="shared" si="29"/>
        <v/>
      </c>
    </row>
    <row r="392" spans="2:11" x14ac:dyDescent="0.25">
      <c r="B392">
        <v>3907</v>
      </c>
      <c r="H392">
        <f t="shared" si="27"/>
        <v>0</v>
      </c>
      <c r="I392" s="9" t="str" cm="1">
        <f t="array" ref="I392">_xlfn.LET(_xlpm.total,SUM(D392:G392),_xlpm.maxv,MAX(D392:G392),IF(_xlpm.total=0,"",IF(_xlpm.maxv/_xlpm.total&lt;0.5,"Mixed-Class",_xlfn.IFS(_xlpm.maxv=D392,"Assault",_xlpm.maxv=E392,"Engineer",_xlpm.maxv=F392,"Recon",_xlpm.maxv=G392,"Support"))))</f>
        <v/>
      </c>
      <c r="J392" t="str">
        <f t="shared" si="28"/>
        <v/>
      </c>
      <c r="K392" s="10" t="str">
        <f t="shared" si="29"/>
        <v/>
      </c>
    </row>
    <row r="393" spans="2:11" x14ac:dyDescent="0.25">
      <c r="B393">
        <v>3917</v>
      </c>
      <c r="H393">
        <f t="shared" si="27"/>
        <v>0</v>
      </c>
      <c r="I393" s="9" t="str" cm="1">
        <f t="array" ref="I393">_xlfn.LET(_xlpm.total,SUM(D393:G393),_xlpm.maxv,MAX(D393:G393),IF(_xlpm.total=0,"",IF(_xlpm.maxv/_xlpm.total&lt;0.5,"Mixed-Class",_xlfn.IFS(_xlpm.maxv=D393,"Assault",_xlpm.maxv=E393,"Engineer",_xlpm.maxv=F393,"Recon",_xlpm.maxv=G393,"Support"))))</f>
        <v/>
      </c>
      <c r="J393" t="str">
        <f t="shared" si="28"/>
        <v/>
      </c>
      <c r="K393" s="10" t="str">
        <f t="shared" si="29"/>
        <v/>
      </c>
    </row>
    <row r="394" spans="2:11" x14ac:dyDescent="0.25">
      <c r="B394">
        <v>3927</v>
      </c>
      <c r="H394">
        <f t="shared" si="27"/>
        <v>0</v>
      </c>
      <c r="I394" s="9" t="str" cm="1">
        <f t="array" ref="I394">_xlfn.LET(_xlpm.total,SUM(D394:G394),_xlpm.maxv,MAX(D394:G394),IF(_xlpm.total=0,"",IF(_xlpm.maxv/_xlpm.total&lt;0.5,"Mixed-Class",_xlfn.IFS(_xlpm.maxv=D394,"Assault",_xlpm.maxv=E394,"Engineer",_xlpm.maxv=F394,"Recon",_xlpm.maxv=G394,"Support"))))</f>
        <v/>
      </c>
      <c r="J394" t="str">
        <f t="shared" si="28"/>
        <v/>
      </c>
      <c r="K394" s="10" t="str">
        <f t="shared" si="29"/>
        <v/>
      </c>
    </row>
    <row r="395" spans="2:11" x14ac:dyDescent="0.25">
      <c r="B395">
        <v>3937</v>
      </c>
      <c r="H395">
        <f t="shared" si="27"/>
        <v>0</v>
      </c>
      <c r="I395" s="9" t="str" cm="1">
        <f t="array" ref="I395">_xlfn.LET(_xlpm.total,SUM(D395:G395),_xlpm.maxv,MAX(D395:G395),IF(_xlpm.total=0,"",IF(_xlpm.maxv/_xlpm.total&lt;0.5,"Mixed-Class",_xlfn.IFS(_xlpm.maxv=D395,"Assault",_xlpm.maxv=E395,"Engineer",_xlpm.maxv=F395,"Recon",_xlpm.maxv=G395,"Support"))))</f>
        <v/>
      </c>
      <c r="J395" t="str">
        <f t="shared" si="28"/>
        <v/>
      </c>
      <c r="K395" s="10" t="str">
        <f t="shared" si="29"/>
        <v/>
      </c>
    </row>
    <row r="396" spans="2:11" x14ac:dyDescent="0.25">
      <c r="B396">
        <v>3947</v>
      </c>
      <c r="H396">
        <f t="shared" si="27"/>
        <v>0</v>
      </c>
      <c r="I396" s="9" t="str" cm="1">
        <f t="array" ref="I396">_xlfn.LET(_xlpm.total,SUM(D396:G396),_xlpm.maxv,MAX(D396:G396),IF(_xlpm.total=0,"",IF(_xlpm.maxv/_xlpm.total&lt;0.5,"Mixed-Class",_xlfn.IFS(_xlpm.maxv=D396,"Assault",_xlpm.maxv=E396,"Engineer",_xlpm.maxv=F396,"Recon",_xlpm.maxv=G396,"Support"))))</f>
        <v/>
      </c>
      <c r="J396" t="str">
        <f t="shared" si="28"/>
        <v/>
      </c>
      <c r="K396" s="10" t="str">
        <f t="shared" si="29"/>
        <v/>
      </c>
    </row>
    <row r="397" spans="2:11" x14ac:dyDescent="0.25">
      <c r="B397">
        <v>3957</v>
      </c>
      <c r="H397">
        <f t="shared" si="27"/>
        <v>0</v>
      </c>
      <c r="I397" s="9" t="str" cm="1">
        <f t="array" ref="I397">_xlfn.LET(_xlpm.total,SUM(D397:G397),_xlpm.maxv,MAX(D397:G397),IF(_xlpm.total=0,"",IF(_xlpm.maxv/_xlpm.total&lt;0.5,"Mixed-Class",_xlfn.IFS(_xlpm.maxv=D397,"Assault",_xlpm.maxv=E397,"Engineer",_xlpm.maxv=F397,"Recon",_xlpm.maxv=G397,"Support"))))</f>
        <v/>
      </c>
      <c r="J397" t="str">
        <f t="shared" si="28"/>
        <v/>
      </c>
      <c r="K397" s="10" t="str">
        <f t="shared" si="29"/>
        <v/>
      </c>
    </row>
    <row r="398" spans="2:11" x14ac:dyDescent="0.25">
      <c r="B398">
        <v>3967</v>
      </c>
      <c r="H398">
        <f t="shared" si="27"/>
        <v>0</v>
      </c>
      <c r="I398" s="9" t="str" cm="1">
        <f t="array" ref="I398">_xlfn.LET(_xlpm.total,SUM(D398:G398),_xlpm.maxv,MAX(D398:G398),IF(_xlpm.total=0,"",IF(_xlpm.maxv/_xlpm.total&lt;0.5,"Mixed-Class",_xlfn.IFS(_xlpm.maxv=D398,"Assault",_xlpm.maxv=E398,"Engineer",_xlpm.maxv=F398,"Recon",_xlpm.maxv=G398,"Support"))))</f>
        <v/>
      </c>
      <c r="J398" t="str">
        <f t="shared" si="28"/>
        <v/>
      </c>
      <c r="K398" s="10" t="str">
        <f t="shared" si="29"/>
        <v/>
      </c>
    </row>
    <row r="399" spans="2:11" x14ac:dyDescent="0.25">
      <c r="B399">
        <v>3977</v>
      </c>
      <c r="H399">
        <f t="shared" si="27"/>
        <v>0</v>
      </c>
      <c r="I399" s="9" t="str" cm="1">
        <f t="array" ref="I399">_xlfn.LET(_xlpm.total,SUM(D399:G399),_xlpm.maxv,MAX(D399:G399),IF(_xlpm.total=0,"",IF(_xlpm.maxv/_xlpm.total&lt;0.5,"Mixed-Class",_xlfn.IFS(_xlpm.maxv=D399,"Assault",_xlpm.maxv=E399,"Engineer",_xlpm.maxv=F399,"Recon",_xlpm.maxv=G399,"Support"))))</f>
        <v/>
      </c>
      <c r="J399" t="str">
        <f t="shared" si="28"/>
        <v/>
      </c>
      <c r="K399" s="10" t="str">
        <f t="shared" si="29"/>
        <v/>
      </c>
    </row>
    <row r="400" spans="2:11" x14ac:dyDescent="0.25">
      <c r="B400">
        <v>3987</v>
      </c>
      <c r="H400">
        <f t="shared" si="27"/>
        <v>0</v>
      </c>
      <c r="I400" s="9" t="str" cm="1">
        <f t="array" ref="I400">_xlfn.LET(_xlpm.total,SUM(D400:G400),_xlpm.maxv,MAX(D400:G400),IF(_xlpm.total=0,"",IF(_xlpm.maxv/_xlpm.total&lt;0.5,"Mixed-Class",_xlfn.IFS(_xlpm.maxv=D400,"Assault",_xlpm.maxv=E400,"Engineer",_xlpm.maxv=F400,"Recon",_xlpm.maxv=G400,"Support"))))</f>
        <v/>
      </c>
      <c r="J400" t="str">
        <f t="shared" si="28"/>
        <v/>
      </c>
      <c r="K400" s="10" t="str">
        <f t="shared" si="29"/>
        <v/>
      </c>
    </row>
    <row r="401" spans="2:11" x14ac:dyDescent="0.25">
      <c r="B401">
        <v>3997</v>
      </c>
      <c r="H401">
        <f t="shared" si="27"/>
        <v>0</v>
      </c>
      <c r="I401" s="9" t="str" cm="1">
        <f t="array" ref="I401">_xlfn.LET(_xlpm.total,SUM(D401:G401),_xlpm.maxv,MAX(D401:G401),IF(_xlpm.total=0,"",IF(_xlpm.maxv/_xlpm.total&lt;0.5,"Mixed-Class",_xlfn.IFS(_xlpm.maxv=D401,"Assault",_xlpm.maxv=E401,"Engineer",_xlpm.maxv=F401,"Recon",_xlpm.maxv=G401,"Support"))))</f>
        <v/>
      </c>
      <c r="J401" t="str">
        <f t="shared" si="28"/>
        <v/>
      </c>
      <c r="K401" s="10" t="str">
        <f t="shared" si="29"/>
        <v/>
      </c>
    </row>
    <row r="402" spans="2:11" x14ac:dyDescent="0.25">
      <c r="B402">
        <v>4007</v>
      </c>
      <c r="H402">
        <f t="shared" si="27"/>
        <v>0</v>
      </c>
      <c r="I402" s="9" t="str" cm="1">
        <f t="array" ref="I402">_xlfn.LET(_xlpm.total,SUM(D402:G402),_xlpm.maxv,MAX(D402:G402),IF(_xlpm.total=0,"",IF(_xlpm.maxv/_xlpm.total&lt;0.5,"Mixed-Class",_xlfn.IFS(_xlpm.maxv=D402,"Assault",_xlpm.maxv=E402,"Engineer",_xlpm.maxv=F402,"Recon",_xlpm.maxv=G402,"Support"))))</f>
        <v/>
      </c>
      <c r="J402" t="str">
        <f t="shared" si="28"/>
        <v/>
      </c>
      <c r="K402" s="10" t="str">
        <f t="shared" si="29"/>
        <v/>
      </c>
    </row>
    <row r="403" spans="2:11" x14ac:dyDescent="0.25">
      <c r="B403">
        <v>4017</v>
      </c>
      <c r="H403">
        <f t="shared" si="27"/>
        <v>0</v>
      </c>
      <c r="I403" s="9" t="str" cm="1">
        <f t="array" ref="I403">_xlfn.LET(_xlpm.total,SUM(D403:G403),_xlpm.maxv,MAX(D403:G403),IF(_xlpm.total=0,"",IF(_xlpm.maxv/_xlpm.total&lt;0.5,"Mixed-Class",_xlfn.IFS(_xlpm.maxv=D403,"Assault",_xlpm.maxv=E403,"Engineer",_xlpm.maxv=F403,"Recon",_xlpm.maxv=G403,"Support"))))</f>
        <v/>
      </c>
      <c r="J403" t="str">
        <f t="shared" si="28"/>
        <v/>
      </c>
      <c r="K403" s="10" t="str">
        <f t="shared" si="29"/>
        <v/>
      </c>
    </row>
    <row r="404" spans="2:11" x14ac:dyDescent="0.25">
      <c r="B404">
        <v>4027</v>
      </c>
      <c r="H404">
        <f t="shared" si="27"/>
        <v>0</v>
      </c>
      <c r="I404" s="9" t="str" cm="1">
        <f t="array" ref="I404">_xlfn.LET(_xlpm.total,SUM(D404:G404),_xlpm.maxv,MAX(D404:G404),IF(_xlpm.total=0,"",IF(_xlpm.maxv/_xlpm.total&lt;0.5,"Mixed-Class",_xlfn.IFS(_xlpm.maxv=D404,"Assault",_xlpm.maxv=E404,"Engineer",_xlpm.maxv=F404,"Recon",_xlpm.maxv=G404,"Support"))))</f>
        <v/>
      </c>
      <c r="J404" t="str">
        <f t="shared" si="28"/>
        <v/>
      </c>
      <c r="K404" s="10" t="str">
        <f t="shared" si="29"/>
        <v/>
      </c>
    </row>
    <row r="405" spans="2:11" x14ac:dyDescent="0.25">
      <c r="B405">
        <v>4037</v>
      </c>
      <c r="H405">
        <f t="shared" si="27"/>
        <v>0</v>
      </c>
      <c r="I405" s="9" t="str" cm="1">
        <f t="array" ref="I405">_xlfn.LET(_xlpm.total,SUM(D405:G405),_xlpm.maxv,MAX(D405:G405),IF(_xlpm.total=0,"",IF(_xlpm.maxv/_xlpm.total&lt;0.5,"Mixed-Class",_xlfn.IFS(_xlpm.maxv=D405,"Assault",_xlpm.maxv=E405,"Engineer",_xlpm.maxv=F405,"Recon",_xlpm.maxv=G405,"Support"))))</f>
        <v/>
      </c>
      <c r="J405" t="str">
        <f t="shared" si="28"/>
        <v/>
      </c>
      <c r="K405" s="10" t="str">
        <f t="shared" si="29"/>
        <v/>
      </c>
    </row>
    <row r="406" spans="2:11" x14ac:dyDescent="0.25">
      <c r="B406">
        <v>4047</v>
      </c>
      <c r="H406">
        <f t="shared" si="27"/>
        <v>0</v>
      </c>
      <c r="I406" s="9" t="str" cm="1">
        <f t="array" ref="I406">_xlfn.LET(_xlpm.total,SUM(D406:G406),_xlpm.maxv,MAX(D406:G406),IF(_xlpm.total=0,"",IF(_xlpm.maxv/_xlpm.total&lt;0.5,"Mixed-Class",_xlfn.IFS(_xlpm.maxv=D406,"Assault",_xlpm.maxv=E406,"Engineer",_xlpm.maxv=F406,"Recon",_xlpm.maxv=G406,"Support"))))</f>
        <v/>
      </c>
      <c r="J406" t="str">
        <f t="shared" si="28"/>
        <v/>
      </c>
      <c r="K406" s="10" t="str">
        <f t="shared" si="29"/>
        <v/>
      </c>
    </row>
    <row r="407" spans="2:11" x14ac:dyDescent="0.25">
      <c r="B407">
        <v>4057</v>
      </c>
      <c r="H407">
        <f t="shared" si="27"/>
        <v>0</v>
      </c>
      <c r="I407" s="9" t="str" cm="1">
        <f t="array" ref="I407">_xlfn.LET(_xlpm.total,SUM(D407:G407),_xlpm.maxv,MAX(D407:G407),IF(_xlpm.total=0,"",IF(_xlpm.maxv/_xlpm.total&lt;0.5,"Mixed-Class",_xlfn.IFS(_xlpm.maxv=D407,"Assault",_xlpm.maxv=E407,"Engineer",_xlpm.maxv=F407,"Recon",_xlpm.maxv=G407,"Support"))))</f>
        <v/>
      </c>
      <c r="J407" t="str">
        <f t="shared" si="28"/>
        <v/>
      </c>
      <c r="K407" s="10" t="str">
        <f t="shared" si="29"/>
        <v/>
      </c>
    </row>
    <row r="408" spans="2:11" x14ac:dyDescent="0.25">
      <c r="B408">
        <v>4067</v>
      </c>
      <c r="H408">
        <f t="shared" si="27"/>
        <v>0</v>
      </c>
      <c r="I408" s="9" t="str" cm="1">
        <f t="array" ref="I408">_xlfn.LET(_xlpm.total,SUM(D408:G408),_xlpm.maxv,MAX(D408:G408),IF(_xlpm.total=0,"",IF(_xlpm.maxv/_xlpm.total&lt;0.5,"Mixed-Class",_xlfn.IFS(_xlpm.maxv=D408,"Assault",_xlpm.maxv=E408,"Engineer",_xlpm.maxv=F408,"Recon",_xlpm.maxv=G408,"Support"))))</f>
        <v/>
      </c>
      <c r="J408" t="str">
        <f t="shared" si="28"/>
        <v/>
      </c>
      <c r="K408" s="10" t="str">
        <f t="shared" si="29"/>
        <v/>
      </c>
    </row>
    <row r="409" spans="2:11" x14ac:dyDescent="0.25">
      <c r="B409">
        <v>4077</v>
      </c>
      <c r="H409">
        <f t="shared" si="27"/>
        <v>0</v>
      </c>
      <c r="I409" s="9" t="str" cm="1">
        <f t="array" ref="I409">_xlfn.LET(_xlpm.total,SUM(D409:G409),_xlpm.maxv,MAX(D409:G409),IF(_xlpm.total=0,"",IF(_xlpm.maxv/_xlpm.total&lt;0.5,"Mixed-Class",_xlfn.IFS(_xlpm.maxv=D409,"Assault",_xlpm.maxv=E409,"Engineer",_xlpm.maxv=F409,"Recon",_xlpm.maxv=G409,"Support"))))</f>
        <v/>
      </c>
      <c r="J409" t="str">
        <f t="shared" si="28"/>
        <v/>
      </c>
      <c r="K409" s="10" t="str">
        <f t="shared" si="29"/>
        <v/>
      </c>
    </row>
    <row r="410" spans="2:11" x14ac:dyDescent="0.25">
      <c r="B410">
        <v>4087</v>
      </c>
      <c r="H410">
        <f t="shared" si="27"/>
        <v>0</v>
      </c>
      <c r="I410" s="9" t="str" cm="1">
        <f t="array" ref="I410">_xlfn.LET(_xlpm.total,SUM(D410:G410),_xlpm.maxv,MAX(D410:G410),IF(_xlpm.total=0,"",IF(_xlpm.maxv/_xlpm.total&lt;0.5,"Mixed-Class",_xlfn.IFS(_xlpm.maxv=D410,"Assault",_xlpm.maxv=E410,"Engineer",_xlpm.maxv=F410,"Recon",_xlpm.maxv=G410,"Support"))))</f>
        <v/>
      </c>
      <c r="J410" t="str">
        <f t="shared" si="28"/>
        <v/>
      </c>
      <c r="K410" s="10" t="str">
        <f t="shared" si="29"/>
        <v/>
      </c>
    </row>
    <row r="411" spans="2:11" x14ac:dyDescent="0.25">
      <c r="B411">
        <v>4097</v>
      </c>
      <c r="H411">
        <f t="shared" si="27"/>
        <v>0</v>
      </c>
      <c r="I411" s="9" t="str" cm="1">
        <f t="array" ref="I411">_xlfn.LET(_xlpm.total,SUM(D411:G411),_xlpm.maxv,MAX(D411:G411),IF(_xlpm.total=0,"",IF(_xlpm.maxv/_xlpm.total&lt;0.5,"Mixed-Class",_xlfn.IFS(_xlpm.maxv=D411,"Assault",_xlpm.maxv=E411,"Engineer",_xlpm.maxv=F411,"Recon",_xlpm.maxv=G411,"Support"))))</f>
        <v/>
      </c>
      <c r="J411" t="str">
        <f t="shared" si="28"/>
        <v/>
      </c>
      <c r="K411" s="10" t="str">
        <f t="shared" si="29"/>
        <v/>
      </c>
    </row>
    <row r="412" spans="2:11" x14ac:dyDescent="0.25">
      <c r="B412">
        <v>4107</v>
      </c>
      <c r="H412">
        <f t="shared" si="27"/>
        <v>0</v>
      </c>
      <c r="I412" s="9" t="str" cm="1">
        <f t="array" ref="I412">_xlfn.LET(_xlpm.total,SUM(D412:G412),_xlpm.maxv,MAX(D412:G412),IF(_xlpm.total=0,"",IF(_xlpm.maxv/_xlpm.total&lt;0.5,"Mixed-Class",_xlfn.IFS(_xlpm.maxv=D412,"Assault",_xlpm.maxv=E412,"Engineer",_xlpm.maxv=F412,"Recon",_xlpm.maxv=G412,"Support"))))</f>
        <v/>
      </c>
      <c r="J412" t="str">
        <f t="shared" si="28"/>
        <v/>
      </c>
      <c r="K412" s="10" t="str">
        <f t="shared" si="29"/>
        <v/>
      </c>
    </row>
    <row r="413" spans="2:11" x14ac:dyDescent="0.25">
      <c r="B413">
        <v>4117</v>
      </c>
      <c r="H413">
        <f t="shared" si="27"/>
        <v>0</v>
      </c>
      <c r="I413" s="9" t="str" cm="1">
        <f t="array" ref="I413">_xlfn.LET(_xlpm.total,SUM(D413:G413),_xlpm.maxv,MAX(D413:G413),IF(_xlpm.total=0,"",IF(_xlpm.maxv/_xlpm.total&lt;0.5,"Mixed-Class",_xlfn.IFS(_xlpm.maxv=D413,"Assault",_xlpm.maxv=E413,"Engineer",_xlpm.maxv=F413,"Recon",_xlpm.maxv=G413,"Support"))))</f>
        <v/>
      </c>
      <c r="J413" t="str">
        <f t="shared" si="28"/>
        <v/>
      </c>
      <c r="K413" s="10" t="str">
        <f t="shared" si="29"/>
        <v/>
      </c>
    </row>
    <row r="414" spans="2:11" x14ac:dyDescent="0.25">
      <c r="B414">
        <v>4127</v>
      </c>
      <c r="H414">
        <f t="shared" si="27"/>
        <v>0</v>
      </c>
      <c r="I414" s="9" t="str" cm="1">
        <f t="array" ref="I414">_xlfn.LET(_xlpm.total,SUM(D414:G414),_xlpm.maxv,MAX(D414:G414),IF(_xlpm.total=0,"",IF(_xlpm.maxv/_xlpm.total&lt;0.5,"Mixed-Class",_xlfn.IFS(_xlpm.maxv=D414,"Assault",_xlpm.maxv=E414,"Engineer",_xlpm.maxv=F414,"Recon",_xlpm.maxv=G414,"Support"))))</f>
        <v/>
      </c>
      <c r="J414" t="str">
        <f t="shared" si="28"/>
        <v/>
      </c>
      <c r="K414" s="10" t="str">
        <f t="shared" si="29"/>
        <v/>
      </c>
    </row>
    <row r="415" spans="2:11" x14ac:dyDescent="0.25">
      <c r="B415">
        <v>4137</v>
      </c>
      <c r="H415">
        <f t="shared" si="27"/>
        <v>0</v>
      </c>
      <c r="I415" s="9" t="str" cm="1">
        <f t="array" ref="I415">_xlfn.LET(_xlpm.total,SUM(D415:G415),_xlpm.maxv,MAX(D415:G415),IF(_xlpm.total=0,"",IF(_xlpm.maxv/_xlpm.total&lt;0.5,"Mixed-Class",_xlfn.IFS(_xlpm.maxv=D415,"Assault",_xlpm.maxv=E415,"Engineer",_xlpm.maxv=F415,"Recon",_xlpm.maxv=G415,"Support"))))</f>
        <v/>
      </c>
      <c r="J415" t="str">
        <f t="shared" si="28"/>
        <v/>
      </c>
      <c r="K415" s="10" t="str">
        <f t="shared" si="29"/>
        <v/>
      </c>
    </row>
    <row r="416" spans="2:11" x14ac:dyDescent="0.25">
      <c r="B416">
        <v>4147</v>
      </c>
      <c r="H416">
        <f t="shared" si="27"/>
        <v>0</v>
      </c>
      <c r="I416" s="9" t="str" cm="1">
        <f t="array" ref="I416">_xlfn.LET(_xlpm.total,SUM(D416:G416),_xlpm.maxv,MAX(D416:G416),IF(_xlpm.total=0,"",IF(_xlpm.maxv/_xlpm.total&lt;0.5,"Mixed-Class",_xlfn.IFS(_xlpm.maxv=D416,"Assault",_xlpm.maxv=E416,"Engineer",_xlpm.maxv=F416,"Recon",_xlpm.maxv=G416,"Support"))))</f>
        <v/>
      </c>
      <c r="J416" t="str">
        <f t="shared" si="28"/>
        <v/>
      </c>
      <c r="K416" s="10" t="str">
        <f t="shared" si="29"/>
        <v/>
      </c>
    </row>
    <row r="417" spans="2:11" x14ac:dyDescent="0.25">
      <c r="B417">
        <v>4157</v>
      </c>
      <c r="H417">
        <f t="shared" si="27"/>
        <v>0</v>
      </c>
      <c r="I417" s="9" t="str" cm="1">
        <f t="array" ref="I417">_xlfn.LET(_xlpm.total,SUM(D417:G417),_xlpm.maxv,MAX(D417:G417),IF(_xlpm.total=0,"",IF(_xlpm.maxv/_xlpm.total&lt;0.5,"Mixed-Class",_xlfn.IFS(_xlpm.maxv=D417,"Assault",_xlpm.maxv=E417,"Engineer",_xlpm.maxv=F417,"Recon",_xlpm.maxv=G417,"Support"))))</f>
        <v/>
      </c>
      <c r="J417" t="str">
        <f t="shared" si="28"/>
        <v/>
      </c>
      <c r="K417" s="10" t="str">
        <f t="shared" si="29"/>
        <v/>
      </c>
    </row>
    <row r="418" spans="2:11" x14ac:dyDescent="0.25">
      <c r="B418">
        <v>4167</v>
      </c>
      <c r="H418">
        <f t="shared" si="27"/>
        <v>0</v>
      </c>
      <c r="I418" s="9" t="str" cm="1">
        <f t="array" ref="I418">_xlfn.LET(_xlpm.total,SUM(D418:G418),_xlpm.maxv,MAX(D418:G418),IF(_xlpm.total=0,"",IF(_xlpm.maxv/_xlpm.total&lt;0.5,"Mixed-Class",_xlfn.IFS(_xlpm.maxv=D418,"Assault",_xlpm.maxv=E418,"Engineer",_xlpm.maxv=F418,"Recon",_xlpm.maxv=G418,"Support"))))</f>
        <v/>
      </c>
      <c r="J418" t="str">
        <f t="shared" si="28"/>
        <v/>
      </c>
      <c r="K418" s="10" t="str">
        <f t="shared" si="29"/>
        <v/>
      </c>
    </row>
    <row r="419" spans="2:11" x14ac:dyDescent="0.25">
      <c r="B419">
        <v>4177</v>
      </c>
      <c r="H419">
        <f t="shared" si="27"/>
        <v>0</v>
      </c>
      <c r="I419" s="9" t="str" cm="1">
        <f t="array" ref="I419">_xlfn.LET(_xlpm.total,SUM(D419:G419),_xlpm.maxv,MAX(D419:G419),IF(_xlpm.total=0,"",IF(_xlpm.maxv/_xlpm.total&lt;0.5,"Mixed-Class",_xlfn.IFS(_xlpm.maxv=D419,"Assault",_xlpm.maxv=E419,"Engineer",_xlpm.maxv=F419,"Recon",_xlpm.maxv=G419,"Support"))))</f>
        <v/>
      </c>
      <c r="J419" t="str">
        <f t="shared" si="28"/>
        <v/>
      </c>
      <c r="K419" s="10" t="str">
        <f t="shared" si="29"/>
        <v/>
      </c>
    </row>
    <row r="420" spans="2:11" x14ac:dyDescent="0.25">
      <c r="B420">
        <v>4187</v>
      </c>
      <c r="H420">
        <f t="shared" si="27"/>
        <v>0</v>
      </c>
      <c r="I420" s="9" t="str" cm="1">
        <f t="array" ref="I420">_xlfn.LET(_xlpm.total,SUM(D420:G420),_xlpm.maxv,MAX(D420:G420),IF(_xlpm.total=0,"",IF(_xlpm.maxv/_xlpm.total&lt;0.5,"Mixed-Class",_xlfn.IFS(_xlpm.maxv=D420,"Assault",_xlpm.maxv=E420,"Engineer",_xlpm.maxv=F420,"Recon",_xlpm.maxv=G420,"Support"))))</f>
        <v/>
      </c>
      <c r="J420" t="str">
        <f t="shared" si="28"/>
        <v/>
      </c>
      <c r="K420" s="10" t="str">
        <f t="shared" si="29"/>
        <v/>
      </c>
    </row>
    <row r="421" spans="2:11" x14ac:dyDescent="0.25">
      <c r="B421">
        <v>4197</v>
      </c>
      <c r="H421">
        <f t="shared" si="27"/>
        <v>0</v>
      </c>
      <c r="I421" s="9" t="str" cm="1">
        <f t="array" ref="I421">_xlfn.LET(_xlpm.total,SUM(D421:G421),_xlpm.maxv,MAX(D421:G421),IF(_xlpm.total=0,"",IF(_xlpm.maxv/_xlpm.total&lt;0.5,"Mixed-Class",_xlfn.IFS(_xlpm.maxv=D421,"Assault",_xlpm.maxv=E421,"Engineer",_xlpm.maxv=F421,"Recon",_xlpm.maxv=G421,"Support"))))</f>
        <v/>
      </c>
      <c r="J421" t="str">
        <f t="shared" si="28"/>
        <v/>
      </c>
      <c r="K421" s="10" t="str">
        <f t="shared" si="29"/>
        <v/>
      </c>
    </row>
    <row r="422" spans="2:11" x14ac:dyDescent="0.25">
      <c r="B422">
        <v>4207</v>
      </c>
      <c r="H422">
        <f t="shared" si="27"/>
        <v>0</v>
      </c>
      <c r="I422" s="9" t="str" cm="1">
        <f t="array" ref="I422">_xlfn.LET(_xlpm.total,SUM(D422:G422),_xlpm.maxv,MAX(D422:G422),IF(_xlpm.total=0,"",IF(_xlpm.maxv/_xlpm.total&lt;0.5,"Mixed-Class",_xlfn.IFS(_xlpm.maxv=D422,"Assault",_xlpm.maxv=E422,"Engineer",_xlpm.maxv=F422,"Recon",_xlpm.maxv=G422,"Support"))))</f>
        <v/>
      </c>
      <c r="J422" t="str">
        <f t="shared" si="28"/>
        <v/>
      </c>
      <c r="K422" s="10" t="str">
        <f t="shared" si="29"/>
        <v/>
      </c>
    </row>
    <row r="423" spans="2:11" x14ac:dyDescent="0.25">
      <c r="B423">
        <v>4217</v>
      </c>
      <c r="H423">
        <f t="shared" si="27"/>
        <v>0</v>
      </c>
      <c r="I423" s="9" t="str" cm="1">
        <f t="array" ref="I423">_xlfn.LET(_xlpm.total,SUM(D423:G423),_xlpm.maxv,MAX(D423:G423),IF(_xlpm.total=0,"",IF(_xlpm.maxv/_xlpm.total&lt;0.5,"Mixed-Class",_xlfn.IFS(_xlpm.maxv=D423,"Assault",_xlpm.maxv=E423,"Engineer",_xlpm.maxv=F423,"Recon",_xlpm.maxv=G423,"Support"))))</f>
        <v/>
      </c>
      <c r="J423" t="str">
        <f t="shared" si="28"/>
        <v/>
      </c>
      <c r="K423" s="10" t="str">
        <f t="shared" si="29"/>
        <v/>
      </c>
    </row>
    <row r="424" spans="2:11" x14ac:dyDescent="0.25">
      <c r="B424">
        <v>4227</v>
      </c>
      <c r="H424">
        <f t="shared" si="27"/>
        <v>0</v>
      </c>
      <c r="I424" s="9" t="str" cm="1">
        <f t="array" ref="I424">_xlfn.LET(_xlpm.total,SUM(D424:G424),_xlpm.maxv,MAX(D424:G424),IF(_xlpm.total=0,"",IF(_xlpm.maxv/_xlpm.total&lt;0.5,"Mixed-Class",_xlfn.IFS(_xlpm.maxv=D424,"Assault",_xlpm.maxv=E424,"Engineer",_xlpm.maxv=F424,"Recon",_xlpm.maxv=G424,"Support"))))</f>
        <v/>
      </c>
      <c r="J424" t="str">
        <f t="shared" si="28"/>
        <v/>
      </c>
      <c r="K424" s="10" t="str">
        <f t="shared" si="29"/>
        <v/>
      </c>
    </row>
    <row r="425" spans="2:11" x14ac:dyDescent="0.25">
      <c r="B425">
        <v>4237</v>
      </c>
      <c r="H425">
        <f t="shared" si="27"/>
        <v>0</v>
      </c>
      <c r="I425" s="9" t="str" cm="1">
        <f t="array" ref="I425">_xlfn.LET(_xlpm.total,SUM(D425:G425),_xlpm.maxv,MAX(D425:G425),IF(_xlpm.total=0,"",IF(_xlpm.maxv/_xlpm.total&lt;0.5,"Mixed-Class",_xlfn.IFS(_xlpm.maxv=D425,"Assault",_xlpm.maxv=E425,"Engineer",_xlpm.maxv=F425,"Recon",_xlpm.maxv=G425,"Support"))))</f>
        <v/>
      </c>
      <c r="J425" t="str">
        <f t="shared" si="28"/>
        <v/>
      </c>
      <c r="K425" s="10" t="str">
        <f t="shared" si="29"/>
        <v/>
      </c>
    </row>
    <row r="426" spans="2:11" x14ac:dyDescent="0.25">
      <c r="B426">
        <v>4247</v>
      </c>
      <c r="H426">
        <f t="shared" si="27"/>
        <v>0</v>
      </c>
      <c r="I426" s="9" t="str" cm="1">
        <f t="array" ref="I426">_xlfn.LET(_xlpm.total,SUM(D426:G426),_xlpm.maxv,MAX(D426:G426),IF(_xlpm.total=0,"",IF(_xlpm.maxv/_xlpm.total&lt;0.5,"Mixed-Class",_xlfn.IFS(_xlpm.maxv=D426,"Assault",_xlpm.maxv=E426,"Engineer",_xlpm.maxv=F426,"Recon",_xlpm.maxv=G426,"Support"))))</f>
        <v/>
      </c>
      <c r="J426" t="str">
        <f t="shared" si="28"/>
        <v/>
      </c>
      <c r="K426" s="10" t="str">
        <f t="shared" si="29"/>
        <v/>
      </c>
    </row>
    <row r="427" spans="2:11" x14ac:dyDescent="0.25">
      <c r="B427">
        <v>4257</v>
      </c>
      <c r="H427">
        <f t="shared" si="27"/>
        <v>0</v>
      </c>
      <c r="I427" s="9" t="str" cm="1">
        <f t="array" ref="I427">_xlfn.LET(_xlpm.total,SUM(D427:G427),_xlpm.maxv,MAX(D427:G427),IF(_xlpm.total=0,"",IF(_xlpm.maxv/_xlpm.total&lt;0.5,"Mixed-Class",_xlfn.IFS(_xlpm.maxv=D427,"Assault",_xlpm.maxv=E427,"Engineer",_xlpm.maxv=F427,"Recon",_xlpm.maxv=G427,"Support"))))</f>
        <v/>
      </c>
      <c r="J427" t="str">
        <f t="shared" si="28"/>
        <v/>
      </c>
      <c r="K427" s="10" t="str">
        <f t="shared" si="29"/>
        <v/>
      </c>
    </row>
    <row r="428" spans="2:11" x14ac:dyDescent="0.25">
      <c r="B428">
        <v>4267</v>
      </c>
      <c r="H428">
        <f t="shared" si="27"/>
        <v>0</v>
      </c>
      <c r="I428" s="9" t="str" cm="1">
        <f t="array" ref="I428">_xlfn.LET(_xlpm.total,SUM(D428:G428),_xlpm.maxv,MAX(D428:G428),IF(_xlpm.total=0,"",IF(_xlpm.maxv/_xlpm.total&lt;0.5,"Mixed-Class",_xlfn.IFS(_xlpm.maxv=D428,"Assault",_xlpm.maxv=E428,"Engineer",_xlpm.maxv=F428,"Recon",_xlpm.maxv=G428,"Support"))))</f>
        <v/>
      </c>
      <c r="J428" t="str">
        <f t="shared" si="28"/>
        <v/>
      </c>
      <c r="K428" s="10" t="str">
        <f t="shared" si="29"/>
        <v/>
      </c>
    </row>
    <row r="429" spans="2:11" x14ac:dyDescent="0.25">
      <c r="B429">
        <v>4277</v>
      </c>
      <c r="H429">
        <f t="shared" si="27"/>
        <v>0</v>
      </c>
      <c r="I429" s="9" t="str" cm="1">
        <f t="array" ref="I429">_xlfn.LET(_xlpm.total,SUM(D429:G429),_xlpm.maxv,MAX(D429:G429),IF(_xlpm.total=0,"",IF(_xlpm.maxv/_xlpm.total&lt;0.5,"Mixed-Class",_xlfn.IFS(_xlpm.maxv=D429,"Assault",_xlpm.maxv=E429,"Engineer",_xlpm.maxv=F429,"Recon",_xlpm.maxv=G429,"Support"))))</f>
        <v/>
      </c>
      <c r="J429" t="str">
        <f t="shared" si="28"/>
        <v/>
      </c>
      <c r="K429" s="10" t="str">
        <f t="shared" si="29"/>
        <v/>
      </c>
    </row>
    <row r="430" spans="2:11" x14ac:dyDescent="0.25">
      <c r="B430">
        <v>4287</v>
      </c>
      <c r="H430">
        <f t="shared" si="27"/>
        <v>0</v>
      </c>
      <c r="I430" s="9" t="str" cm="1">
        <f t="array" ref="I430">_xlfn.LET(_xlpm.total,SUM(D430:G430),_xlpm.maxv,MAX(D430:G430),IF(_xlpm.total=0,"",IF(_xlpm.maxv/_xlpm.total&lt;0.5,"Mixed-Class",_xlfn.IFS(_xlpm.maxv=D430,"Assault",_xlpm.maxv=E430,"Engineer",_xlpm.maxv=F430,"Recon",_xlpm.maxv=G430,"Support"))))</f>
        <v/>
      </c>
      <c r="J430" t="str">
        <f t="shared" si="28"/>
        <v/>
      </c>
      <c r="K430" s="10" t="str">
        <f t="shared" si="29"/>
        <v/>
      </c>
    </row>
    <row r="431" spans="2:11" x14ac:dyDescent="0.25">
      <c r="B431">
        <v>4297</v>
      </c>
      <c r="H431">
        <f t="shared" si="27"/>
        <v>0</v>
      </c>
      <c r="I431" s="9" t="str" cm="1">
        <f t="array" ref="I431">_xlfn.LET(_xlpm.total,SUM(D431:G431),_xlpm.maxv,MAX(D431:G431),IF(_xlpm.total=0,"",IF(_xlpm.maxv/_xlpm.total&lt;0.5,"Mixed-Class",_xlfn.IFS(_xlpm.maxv=D431,"Assault",_xlpm.maxv=E431,"Engineer",_xlpm.maxv=F431,"Recon",_xlpm.maxv=G431,"Support"))))</f>
        <v/>
      </c>
      <c r="J431" t="str">
        <f t="shared" si="28"/>
        <v/>
      </c>
      <c r="K431" s="10" t="str">
        <f t="shared" si="29"/>
        <v/>
      </c>
    </row>
    <row r="432" spans="2:11" x14ac:dyDescent="0.25">
      <c r="B432">
        <v>4307</v>
      </c>
      <c r="H432">
        <f t="shared" si="27"/>
        <v>0</v>
      </c>
      <c r="I432" s="9" t="str" cm="1">
        <f t="array" ref="I432">_xlfn.LET(_xlpm.total,SUM(D432:G432),_xlpm.maxv,MAX(D432:G432),IF(_xlpm.total=0,"",IF(_xlpm.maxv/_xlpm.total&lt;0.5,"Mixed-Class",_xlfn.IFS(_xlpm.maxv=D432,"Assault",_xlpm.maxv=E432,"Engineer",_xlpm.maxv=F432,"Recon",_xlpm.maxv=G432,"Support"))))</f>
        <v/>
      </c>
      <c r="J432" t="str">
        <f t="shared" si="28"/>
        <v/>
      </c>
      <c r="K432" s="10" t="str">
        <f t="shared" si="29"/>
        <v/>
      </c>
    </row>
    <row r="433" spans="2:11" x14ac:dyDescent="0.25">
      <c r="B433">
        <v>4317</v>
      </c>
      <c r="H433">
        <f t="shared" si="27"/>
        <v>0</v>
      </c>
      <c r="I433" s="9" t="str" cm="1">
        <f t="array" ref="I433">_xlfn.LET(_xlpm.total,SUM(D433:G433),_xlpm.maxv,MAX(D433:G433),IF(_xlpm.total=0,"",IF(_xlpm.maxv/_xlpm.total&lt;0.5,"Mixed-Class",_xlfn.IFS(_xlpm.maxv=D433,"Assault",_xlpm.maxv=E433,"Engineer",_xlpm.maxv=F433,"Recon",_xlpm.maxv=G433,"Support"))))</f>
        <v/>
      </c>
      <c r="J433" t="str">
        <f t="shared" si="28"/>
        <v/>
      </c>
      <c r="K433" s="10" t="str">
        <f t="shared" si="29"/>
        <v/>
      </c>
    </row>
    <row r="434" spans="2:11" x14ac:dyDescent="0.25">
      <c r="B434">
        <v>4327</v>
      </c>
      <c r="H434">
        <f t="shared" si="27"/>
        <v>0</v>
      </c>
      <c r="I434" s="9" t="str" cm="1">
        <f t="array" ref="I434">_xlfn.LET(_xlpm.total,SUM(D434:G434),_xlpm.maxv,MAX(D434:G434),IF(_xlpm.total=0,"",IF(_xlpm.maxv/_xlpm.total&lt;0.5,"Mixed-Class",_xlfn.IFS(_xlpm.maxv=D434,"Assault",_xlpm.maxv=E434,"Engineer",_xlpm.maxv=F434,"Recon",_xlpm.maxv=G434,"Support"))))</f>
        <v/>
      </c>
      <c r="J434" t="str">
        <f t="shared" si="28"/>
        <v/>
      </c>
      <c r="K434" s="10" t="str">
        <f t="shared" si="29"/>
        <v/>
      </c>
    </row>
    <row r="435" spans="2:11" x14ac:dyDescent="0.25">
      <c r="B435">
        <v>4337</v>
      </c>
      <c r="H435">
        <f t="shared" si="27"/>
        <v>0</v>
      </c>
      <c r="I435" s="9" t="str" cm="1">
        <f t="array" ref="I435">_xlfn.LET(_xlpm.total,SUM(D435:G435),_xlpm.maxv,MAX(D435:G435),IF(_xlpm.total=0,"",IF(_xlpm.maxv/_xlpm.total&lt;0.5,"Mixed-Class",_xlfn.IFS(_xlpm.maxv=D435,"Assault",_xlpm.maxv=E435,"Engineer",_xlpm.maxv=F435,"Recon",_xlpm.maxv=G435,"Support"))))</f>
        <v/>
      </c>
      <c r="J435" t="str">
        <f t="shared" si="28"/>
        <v/>
      </c>
      <c r="K435" s="10" t="str">
        <f t="shared" si="29"/>
        <v/>
      </c>
    </row>
    <row r="436" spans="2:11" x14ac:dyDescent="0.25">
      <c r="B436">
        <v>4347</v>
      </c>
      <c r="H436">
        <f t="shared" si="27"/>
        <v>0</v>
      </c>
      <c r="I436" s="9" t="str" cm="1">
        <f t="array" ref="I436">_xlfn.LET(_xlpm.total,SUM(D436:G436),_xlpm.maxv,MAX(D436:G436),IF(_xlpm.total=0,"",IF(_xlpm.maxv/_xlpm.total&lt;0.5,"Mixed-Class",_xlfn.IFS(_xlpm.maxv=D436,"Assault",_xlpm.maxv=E436,"Engineer",_xlpm.maxv=F436,"Recon",_xlpm.maxv=G436,"Support"))))</f>
        <v/>
      </c>
      <c r="J436" t="str">
        <f t="shared" si="28"/>
        <v/>
      </c>
      <c r="K436" s="10" t="str">
        <f t="shared" si="29"/>
        <v/>
      </c>
    </row>
    <row r="437" spans="2:11" x14ac:dyDescent="0.25">
      <c r="B437">
        <v>4357</v>
      </c>
      <c r="H437">
        <f t="shared" si="27"/>
        <v>0</v>
      </c>
      <c r="I437" s="9" t="str" cm="1">
        <f t="array" ref="I437">_xlfn.LET(_xlpm.total,SUM(D437:G437),_xlpm.maxv,MAX(D437:G437),IF(_xlpm.total=0,"",IF(_xlpm.maxv/_xlpm.total&lt;0.5,"Mixed-Class",_xlfn.IFS(_xlpm.maxv=D437,"Assault",_xlpm.maxv=E437,"Engineer",_xlpm.maxv=F437,"Recon",_xlpm.maxv=G437,"Support"))))</f>
        <v/>
      </c>
      <c r="J437" t="str">
        <f t="shared" si="28"/>
        <v/>
      </c>
      <c r="K437" s="10" t="str">
        <f t="shared" si="29"/>
        <v/>
      </c>
    </row>
    <row r="438" spans="2:11" x14ac:dyDescent="0.25">
      <c r="B438">
        <v>4367</v>
      </c>
      <c r="H438">
        <f t="shared" si="27"/>
        <v>0</v>
      </c>
      <c r="I438" s="9" t="str" cm="1">
        <f t="array" ref="I438">_xlfn.LET(_xlpm.total,SUM(D438:G438),_xlpm.maxv,MAX(D438:G438),IF(_xlpm.total=0,"",IF(_xlpm.maxv/_xlpm.total&lt;0.5,"Mixed-Class",_xlfn.IFS(_xlpm.maxv=D438,"Assault",_xlpm.maxv=E438,"Engineer",_xlpm.maxv=F438,"Recon",_xlpm.maxv=G438,"Support"))))</f>
        <v/>
      </c>
      <c r="J438" t="str">
        <f t="shared" si="28"/>
        <v/>
      </c>
      <c r="K438" s="10" t="str">
        <f t="shared" si="29"/>
        <v/>
      </c>
    </row>
    <row r="439" spans="2:11" x14ac:dyDescent="0.25">
      <c r="B439">
        <v>4377</v>
      </c>
      <c r="H439">
        <f t="shared" si="27"/>
        <v>0</v>
      </c>
      <c r="I439" s="9" t="str" cm="1">
        <f t="array" ref="I439">_xlfn.LET(_xlpm.total,SUM(D439:G439),_xlpm.maxv,MAX(D439:G439),IF(_xlpm.total=0,"",IF(_xlpm.maxv/_xlpm.total&lt;0.5,"Mixed-Class",_xlfn.IFS(_xlpm.maxv=D439,"Assault",_xlpm.maxv=E439,"Engineer",_xlpm.maxv=F439,"Recon",_xlpm.maxv=G439,"Support"))))</f>
        <v/>
      </c>
      <c r="J439" t="str">
        <f t="shared" si="28"/>
        <v/>
      </c>
      <c r="K439" s="10" t="str">
        <f t="shared" si="29"/>
        <v/>
      </c>
    </row>
    <row r="440" spans="2:11" x14ac:dyDescent="0.25">
      <c r="B440">
        <v>4387</v>
      </c>
      <c r="H440">
        <f t="shared" si="27"/>
        <v>0</v>
      </c>
      <c r="I440" s="9" t="str" cm="1">
        <f t="array" ref="I440">_xlfn.LET(_xlpm.total,SUM(D440:G440),_xlpm.maxv,MAX(D440:G440),IF(_xlpm.total=0,"",IF(_xlpm.maxv/_xlpm.total&lt;0.5,"Mixed-Class",_xlfn.IFS(_xlpm.maxv=D440,"Assault",_xlpm.maxv=E440,"Engineer",_xlpm.maxv=F440,"Recon",_xlpm.maxv=G440,"Support"))))</f>
        <v/>
      </c>
      <c r="J440" t="str">
        <f t="shared" si="28"/>
        <v/>
      </c>
      <c r="K440" s="10" t="str">
        <f t="shared" si="29"/>
        <v/>
      </c>
    </row>
    <row r="441" spans="2:11" x14ac:dyDescent="0.25">
      <c r="B441">
        <v>4397</v>
      </c>
      <c r="H441">
        <f t="shared" si="27"/>
        <v>0</v>
      </c>
      <c r="I441" s="9" t="str" cm="1">
        <f t="array" ref="I441">_xlfn.LET(_xlpm.total,SUM(D441:G441),_xlpm.maxv,MAX(D441:G441),IF(_xlpm.total=0,"",IF(_xlpm.maxv/_xlpm.total&lt;0.5,"Mixed-Class",_xlfn.IFS(_xlpm.maxv=D441,"Assault",_xlpm.maxv=E441,"Engineer",_xlpm.maxv=F441,"Recon",_xlpm.maxv=G441,"Support"))))</f>
        <v/>
      </c>
      <c r="J441" t="str">
        <f t="shared" si="28"/>
        <v/>
      </c>
      <c r="K441" s="10" t="str">
        <f t="shared" si="29"/>
        <v/>
      </c>
    </row>
    <row r="442" spans="2:11" x14ac:dyDescent="0.25">
      <c r="B442">
        <v>4407</v>
      </c>
      <c r="H442">
        <f t="shared" si="27"/>
        <v>0</v>
      </c>
      <c r="I442" s="9" t="str" cm="1">
        <f t="array" ref="I442">_xlfn.LET(_xlpm.total,SUM(D442:G442),_xlpm.maxv,MAX(D442:G442),IF(_xlpm.total=0,"",IF(_xlpm.maxv/_xlpm.total&lt;0.5,"Mixed-Class",_xlfn.IFS(_xlpm.maxv=D442,"Assault",_xlpm.maxv=E442,"Engineer",_xlpm.maxv=F442,"Recon",_xlpm.maxv=G442,"Support"))))</f>
        <v/>
      </c>
      <c r="J442" t="str">
        <f t="shared" si="28"/>
        <v/>
      </c>
      <c r="K442" s="10" t="str">
        <f t="shared" si="29"/>
        <v/>
      </c>
    </row>
    <row r="443" spans="2:11" x14ac:dyDescent="0.25">
      <c r="B443">
        <v>4417</v>
      </c>
      <c r="H443">
        <f t="shared" si="27"/>
        <v>0</v>
      </c>
      <c r="I443" s="9" t="str" cm="1">
        <f t="array" ref="I443">_xlfn.LET(_xlpm.total,SUM(D443:G443),_xlpm.maxv,MAX(D443:G443),IF(_xlpm.total=0,"",IF(_xlpm.maxv/_xlpm.total&lt;0.5,"Mixed-Class",_xlfn.IFS(_xlpm.maxv=D443,"Assault",_xlpm.maxv=E443,"Engineer",_xlpm.maxv=F443,"Recon",_xlpm.maxv=G443,"Support"))))</f>
        <v/>
      </c>
      <c r="J443" t="str">
        <f t="shared" si="28"/>
        <v/>
      </c>
      <c r="K443" s="10" t="str">
        <f t="shared" si="29"/>
        <v/>
      </c>
    </row>
    <row r="444" spans="2:11" x14ac:dyDescent="0.25">
      <c r="B444">
        <v>4427</v>
      </c>
      <c r="H444">
        <f t="shared" si="27"/>
        <v>0</v>
      </c>
      <c r="I444" s="9" t="str" cm="1">
        <f t="array" ref="I444">_xlfn.LET(_xlpm.total,SUM(D444:G444),_xlpm.maxv,MAX(D444:G444),IF(_xlpm.total=0,"",IF(_xlpm.maxv/_xlpm.total&lt;0.5,"Mixed-Class",_xlfn.IFS(_xlpm.maxv=D444,"Assault",_xlpm.maxv=E444,"Engineer",_xlpm.maxv=F444,"Recon",_xlpm.maxv=G444,"Support"))))</f>
        <v/>
      </c>
      <c r="J444" t="str">
        <f t="shared" si="28"/>
        <v/>
      </c>
      <c r="K444" s="10" t="str">
        <f t="shared" si="29"/>
        <v/>
      </c>
    </row>
    <row r="445" spans="2:11" x14ac:dyDescent="0.25">
      <c r="B445">
        <v>4437</v>
      </c>
      <c r="H445">
        <f t="shared" si="27"/>
        <v>0</v>
      </c>
      <c r="I445" s="9" t="str" cm="1">
        <f t="array" ref="I445">_xlfn.LET(_xlpm.total,SUM(D445:G445),_xlpm.maxv,MAX(D445:G445),IF(_xlpm.total=0,"",IF(_xlpm.maxv/_xlpm.total&lt;0.5,"Mixed-Class",_xlfn.IFS(_xlpm.maxv=D445,"Assault",_xlpm.maxv=E445,"Engineer",_xlpm.maxv=F445,"Recon",_xlpm.maxv=G445,"Support"))))</f>
        <v/>
      </c>
      <c r="J445" t="str">
        <f t="shared" si="28"/>
        <v/>
      </c>
      <c r="K445" s="10" t="str">
        <f t="shared" si="29"/>
        <v/>
      </c>
    </row>
    <row r="446" spans="2:11" x14ac:dyDescent="0.25">
      <c r="B446">
        <v>4447</v>
      </c>
      <c r="H446">
        <f t="shared" si="27"/>
        <v>0</v>
      </c>
      <c r="I446" s="9" t="str" cm="1">
        <f t="array" ref="I446">_xlfn.LET(_xlpm.total,SUM(D446:G446),_xlpm.maxv,MAX(D446:G446),IF(_xlpm.total=0,"",IF(_xlpm.maxv/_xlpm.total&lt;0.5,"Mixed-Class",_xlfn.IFS(_xlpm.maxv=D446,"Assault",_xlpm.maxv=E446,"Engineer",_xlpm.maxv=F446,"Recon",_xlpm.maxv=G446,"Support"))))</f>
        <v/>
      </c>
      <c r="J446" t="str">
        <f t="shared" si="28"/>
        <v/>
      </c>
      <c r="K446" s="10" t="str">
        <f t="shared" si="29"/>
        <v/>
      </c>
    </row>
    <row r="447" spans="2:11" x14ac:dyDescent="0.25">
      <c r="B447">
        <v>4457</v>
      </c>
      <c r="H447">
        <f t="shared" si="27"/>
        <v>0</v>
      </c>
      <c r="I447" s="9" t="str" cm="1">
        <f t="array" ref="I447">_xlfn.LET(_xlpm.total,SUM(D447:G447),_xlpm.maxv,MAX(D447:G447),IF(_xlpm.total=0,"",IF(_xlpm.maxv/_xlpm.total&lt;0.5,"Mixed-Class",_xlfn.IFS(_xlpm.maxv=D447,"Assault",_xlpm.maxv=E447,"Engineer",_xlpm.maxv=F447,"Recon",_xlpm.maxv=G447,"Support"))))</f>
        <v/>
      </c>
      <c r="J447" t="str">
        <f t="shared" si="28"/>
        <v/>
      </c>
      <c r="K447" s="10" t="str">
        <f t="shared" si="29"/>
        <v/>
      </c>
    </row>
    <row r="448" spans="2:11" x14ac:dyDescent="0.25">
      <c r="B448">
        <v>4467</v>
      </c>
      <c r="H448">
        <f t="shared" si="27"/>
        <v>0</v>
      </c>
      <c r="I448" s="9" t="str" cm="1">
        <f t="array" ref="I448">_xlfn.LET(_xlpm.total,SUM(D448:G448),_xlpm.maxv,MAX(D448:G448),IF(_xlpm.total=0,"",IF(_xlpm.maxv/_xlpm.total&lt;0.5,"Mixed-Class",_xlfn.IFS(_xlpm.maxv=D448,"Assault",_xlpm.maxv=E448,"Engineer",_xlpm.maxv=F448,"Recon",_xlpm.maxv=G448,"Support"))))</f>
        <v/>
      </c>
      <c r="J448" t="str">
        <f t="shared" si="28"/>
        <v/>
      </c>
      <c r="K448" s="10" t="str">
        <f t="shared" si="29"/>
        <v/>
      </c>
    </row>
    <row r="449" spans="2:11" x14ac:dyDescent="0.25">
      <c r="B449">
        <v>4477</v>
      </c>
      <c r="H449">
        <f t="shared" si="27"/>
        <v>0</v>
      </c>
      <c r="I449" s="9" t="str" cm="1">
        <f t="array" ref="I449">_xlfn.LET(_xlpm.total,SUM(D449:G449),_xlpm.maxv,MAX(D449:G449),IF(_xlpm.total=0,"",IF(_xlpm.maxv/_xlpm.total&lt;0.5,"Mixed-Class",_xlfn.IFS(_xlpm.maxv=D449,"Assault",_xlpm.maxv=E449,"Engineer",_xlpm.maxv=F449,"Recon",_xlpm.maxv=G449,"Support"))))</f>
        <v/>
      </c>
      <c r="J449" t="str">
        <f t="shared" si="28"/>
        <v/>
      </c>
      <c r="K449" s="10" t="str">
        <f t="shared" si="29"/>
        <v/>
      </c>
    </row>
    <row r="450" spans="2:11" x14ac:dyDescent="0.25">
      <c r="B450">
        <v>4487</v>
      </c>
      <c r="H450">
        <f t="shared" si="27"/>
        <v>0</v>
      </c>
      <c r="I450" s="9" t="str" cm="1">
        <f t="array" ref="I450">_xlfn.LET(_xlpm.total,SUM(D450:G450),_xlpm.maxv,MAX(D450:G450),IF(_xlpm.total=0,"",IF(_xlpm.maxv/_xlpm.total&lt;0.5,"Mixed-Class",_xlfn.IFS(_xlpm.maxv=D450,"Assault",_xlpm.maxv=E450,"Engineer",_xlpm.maxv=F450,"Recon",_xlpm.maxv=G450,"Support"))))</f>
        <v/>
      </c>
      <c r="J450" t="str">
        <f t="shared" si="28"/>
        <v/>
      </c>
      <c r="K450" s="10" t="str">
        <f t="shared" si="29"/>
        <v/>
      </c>
    </row>
    <row r="451" spans="2:11" x14ac:dyDescent="0.25">
      <c r="B451">
        <v>4497</v>
      </c>
      <c r="H451">
        <f t="shared" ref="H451:H514" si="30">SUM(D451:G451)</f>
        <v>0</v>
      </c>
      <c r="I451" s="9" t="str" cm="1">
        <f t="array" ref="I451">_xlfn.LET(_xlpm.total,SUM(D451:G451),_xlpm.maxv,MAX(D451:G451),IF(_xlpm.total=0,"",IF(_xlpm.maxv/_xlpm.total&lt;0.5,"Mixed-Class",_xlfn.IFS(_xlpm.maxv=D451,"Assault",_xlpm.maxv=E451,"Engineer",_xlpm.maxv=F451,"Recon",_xlpm.maxv=G451,"Support"))))</f>
        <v/>
      </c>
      <c r="J451" t="str">
        <f t="shared" ref="J451:J514" si="31">_xlfn.LET(_xlpm.total,SUM(D451:G451),IF(_xlpm.total=0,"",MAX(D451:G451)/_xlpm.total&gt;=0.5))</f>
        <v/>
      </c>
      <c r="K451" s="10" t="str">
        <f t="shared" ref="K451:K514" si="32">_xlfn.LET(_xlpm.total,SUM(D451:G451),IF(_xlpm.total=0,"",MAX(D451:G451)/_xlpm.total))</f>
        <v/>
      </c>
    </row>
    <row r="452" spans="2:11" x14ac:dyDescent="0.25">
      <c r="B452">
        <v>4507</v>
      </c>
      <c r="H452">
        <f t="shared" si="30"/>
        <v>0</v>
      </c>
      <c r="I452" s="9" t="str" cm="1">
        <f t="array" ref="I452">_xlfn.LET(_xlpm.total,SUM(D452:G452),_xlpm.maxv,MAX(D452:G452),IF(_xlpm.total=0,"",IF(_xlpm.maxv/_xlpm.total&lt;0.5,"Mixed-Class",_xlfn.IFS(_xlpm.maxv=D452,"Assault",_xlpm.maxv=E452,"Engineer",_xlpm.maxv=F452,"Recon",_xlpm.maxv=G452,"Support"))))</f>
        <v/>
      </c>
      <c r="J452" t="str">
        <f t="shared" si="31"/>
        <v/>
      </c>
      <c r="K452" s="10" t="str">
        <f t="shared" si="32"/>
        <v/>
      </c>
    </row>
    <row r="453" spans="2:11" x14ac:dyDescent="0.25">
      <c r="B453">
        <v>4517</v>
      </c>
      <c r="H453">
        <f t="shared" si="30"/>
        <v>0</v>
      </c>
      <c r="I453" s="9" t="str" cm="1">
        <f t="array" ref="I453">_xlfn.LET(_xlpm.total,SUM(D453:G453),_xlpm.maxv,MAX(D453:G453),IF(_xlpm.total=0,"",IF(_xlpm.maxv/_xlpm.total&lt;0.5,"Mixed-Class",_xlfn.IFS(_xlpm.maxv=D453,"Assault",_xlpm.maxv=E453,"Engineer",_xlpm.maxv=F453,"Recon",_xlpm.maxv=G453,"Support"))))</f>
        <v/>
      </c>
      <c r="J453" t="str">
        <f t="shared" si="31"/>
        <v/>
      </c>
      <c r="K453" s="10" t="str">
        <f t="shared" si="32"/>
        <v/>
      </c>
    </row>
    <row r="454" spans="2:11" x14ac:dyDescent="0.25">
      <c r="B454">
        <v>4527</v>
      </c>
      <c r="H454">
        <f t="shared" si="30"/>
        <v>0</v>
      </c>
      <c r="I454" s="9" t="str" cm="1">
        <f t="array" ref="I454">_xlfn.LET(_xlpm.total,SUM(D454:G454),_xlpm.maxv,MAX(D454:G454),IF(_xlpm.total=0,"",IF(_xlpm.maxv/_xlpm.total&lt;0.5,"Mixed-Class",_xlfn.IFS(_xlpm.maxv=D454,"Assault",_xlpm.maxv=E454,"Engineer",_xlpm.maxv=F454,"Recon",_xlpm.maxv=G454,"Support"))))</f>
        <v/>
      </c>
      <c r="J454" t="str">
        <f t="shared" si="31"/>
        <v/>
      </c>
      <c r="K454" s="10" t="str">
        <f t="shared" si="32"/>
        <v/>
      </c>
    </row>
    <row r="455" spans="2:11" x14ac:dyDescent="0.25">
      <c r="B455">
        <v>4537</v>
      </c>
      <c r="H455">
        <f t="shared" si="30"/>
        <v>0</v>
      </c>
      <c r="I455" s="9" t="str" cm="1">
        <f t="array" ref="I455">_xlfn.LET(_xlpm.total,SUM(D455:G455),_xlpm.maxv,MAX(D455:G455),IF(_xlpm.total=0,"",IF(_xlpm.maxv/_xlpm.total&lt;0.5,"Mixed-Class",_xlfn.IFS(_xlpm.maxv=D455,"Assault",_xlpm.maxv=E455,"Engineer",_xlpm.maxv=F455,"Recon",_xlpm.maxv=G455,"Support"))))</f>
        <v/>
      </c>
      <c r="J455" t="str">
        <f t="shared" si="31"/>
        <v/>
      </c>
      <c r="K455" s="10" t="str">
        <f t="shared" si="32"/>
        <v/>
      </c>
    </row>
    <row r="456" spans="2:11" x14ac:dyDescent="0.25">
      <c r="B456">
        <v>4547</v>
      </c>
      <c r="H456">
        <f t="shared" si="30"/>
        <v>0</v>
      </c>
      <c r="I456" s="9" t="str" cm="1">
        <f t="array" ref="I456">_xlfn.LET(_xlpm.total,SUM(D456:G456),_xlpm.maxv,MAX(D456:G456),IF(_xlpm.total=0,"",IF(_xlpm.maxv/_xlpm.total&lt;0.5,"Mixed-Class",_xlfn.IFS(_xlpm.maxv=D456,"Assault",_xlpm.maxv=E456,"Engineer",_xlpm.maxv=F456,"Recon",_xlpm.maxv=G456,"Support"))))</f>
        <v/>
      </c>
      <c r="J456" t="str">
        <f t="shared" si="31"/>
        <v/>
      </c>
      <c r="K456" s="10" t="str">
        <f t="shared" si="32"/>
        <v/>
      </c>
    </row>
    <row r="457" spans="2:11" x14ac:dyDescent="0.25">
      <c r="B457">
        <v>4557</v>
      </c>
      <c r="H457">
        <f t="shared" si="30"/>
        <v>0</v>
      </c>
      <c r="I457" s="9" t="str" cm="1">
        <f t="array" ref="I457">_xlfn.LET(_xlpm.total,SUM(D457:G457),_xlpm.maxv,MAX(D457:G457),IF(_xlpm.total=0,"",IF(_xlpm.maxv/_xlpm.total&lt;0.5,"Mixed-Class",_xlfn.IFS(_xlpm.maxv=D457,"Assault",_xlpm.maxv=E457,"Engineer",_xlpm.maxv=F457,"Recon",_xlpm.maxv=G457,"Support"))))</f>
        <v/>
      </c>
      <c r="J457" t="str">
        <f t="shared" si="31"/>
        <v/>
      </c>
      <c r="K457" s="10" t="str">
        <f t="shared" si="32"/>
        <v/>
      </c>
    </row>
    <row r="458" spans="2:11" x14ac:dyDescent="0.25">
      <c r="B458">
        <v>4567</v>
      </c>
      <c r="H458">
        <f t="shared" si="30"/>
        <v>0</v>
      </c>
      <c r="I458" s="9" t="str" cm="1">
        <f t="array" ref="I458">_xlfn.LET(_xlpm.total,SUM(D458:G458),_xlpm.maxv,MAX(D458:G458),IF(_xlpm.total=0,"",IF(_xlpm.maxv/_xlpm.total&lt;0.5,"Mixed-Class",_xlfn.IFS(_xlpm.maxv=D458,"Assault",_xlpm.maxv=E458,"Engineer",_xlpm.maxv=F458,"Recon",_xlpm.maxv=G458,"Support"))))</f>
        <v/>
      </c>
      <c r="J458" t="str">
        <f t="shared" si="31"/>
        <v/>
      </c>
      <c r="K458" s="10" t="str">
        <f t="shared" si="32"/>
        <v/>
      </c>
    </row>
    <row r="459" spans="2:11" x14ac:dyDescent="0.25">
      <c r="B459">
        <v>4577</v>
      </c>
      <c r="H459">
        <f t="shared" si="30"/>
        <v>0</v>
      </c>
      <c r="I459" s="9" t="str" cm="1">
        <f t="array" ref="I459">_xlfn.LET(_xlpm.total,SUM(D459:G459),_xlpm.maxv,MAX(D459:G459),IF(_xlpm.total=0,"",IF(_xlpm.maxv/_xlpm.total&lt;0.5,"Mixed-Class",_xlfn.IFS(_xlpm.maxv=D459,"Assault",_xlpm.maxv=E459,"Engineer",_xlpm.maxv=F459,"Recon",_xlpm.maxv=G459,"Support"))))</f>
        <v/>
      </c>
      <c r="J459" t="str">
        <f t="shared" si="31"/>
        <v/>
      </c>
      <c r="K459" s="10" t="str">
        <f t="shared" si="32"/>
        <v/>
      </c>
    </row>
    <row r="460" spans="2:11" x14ac:dyDescent="0.25">
      <c r="B460">
        <v>4587</v>
      </c>
      <c r="H460">
        <f t="shared" si="30"/>
        <v>0</v>
      </c>
      <c r="I460" s="9" t="str" cm="1">
        <f t="array" ref="I460">_xlfn.LET(_xlpm.total,SUM(D460:G460),_xlpm.maxv,MAX(D460:G460),IF(_xlpm.total=0,"",IF(_xlpm.maxv/_xlpm.total&lt;0.5,"Mixed-Class",_xlfn.IFS(_xlpm.maxv=D460,"Assault",_xlpm.maxv=E460,"Engineer",_xlpm.maxv=F460,"Recon",_xlpm.maxv=G460,"Support"))))</f>
        <v/>
      </c>
      <c r="J460" t="str">
        <f t="shared" si="31"/>
        <v/>
      </c>
      <c r="K460" s="10" t="str">
        <f t="shared" si="32"/>
        <v/>
      </c>
    </row>
    <row r="461" spans="2:11" x14ac:dyDescent="0.25">
      <c r="B461">
        <v>4597</v>
      </c>
      <c r="H461">
        <f t="shared" si="30"/>
        <v>0</v>
      </c>
      <c r="I461" s="9" t="str" cm="1">
        <f t="array" ref="I461">_xlfn.LET(_xlpm.total,SUM(D461:G461),_xlpm.maxv,MAX(D461:G461),IF(_xlpm.total=0,"",IF(_xlpm.maxv/_xlpm.total&lt;0.5,"Mixed-Class",_xlfn.IFS(_xlpm.maxv=D461,"Assault",_xlpm.maxv=E461,"Engineer",_xlpm.maxv=F461,"Recon",_xlpm.maxv=G461,"Support"))))</f>
        <v/>
      </c>
      <c r="J461" t="str">
        <f t="shared" si="31"/>
        <v/>
      </c>
      <c r="K461" s="10" t="str">
        <f t="shared" si="32"/>
        <v/>
      </c>
    </row>
    <row r="462" spans="2:11" x14ac:dyDescent="0.25">
      <c r="B462">
        <v>4607</v>
      </c>
      <c r="H462">
        <f t="shared" si="30"/>
        <v>0</v>
      </c>
      <c r="I462" s="9" t="str" cm="1">
        <f t="array" ref="I462">_xlfn.LET(_xlpm.total,SUM(D462:G462),_xlpm.maxv,MAX(D462:G462),IF(_xlpm.total=0,"",IF(_xlpm.maxv/_xlpm.total&lt;0.5,"Mixed-Class",_xlfn.IFS(_xlpm.maxv=D462,"Assault",_xlpm.maxv=E462,"Engineer",_xlpm.maxv=F462,"Recon",_xlpm.maxv=G462,"Support"))))</f>
        <v/>
      </c>
      <c r="J462" t="str">
        <f t="shared" si="31"/>
        <v/>
      </c>
      <c r="K462" s="10" t="str">
        <f t="shared" si="32"/>
        <v/>
      </c>
    </row>
    <row r="463" spans="2:11" x14ac:dyDescent="0.25">
      <c r="B463">
        <v>4617</v>
      </c>
      <c r="H463">
        <f t="shared" si="30"/>
        <v>0</v>
      </c>
      <c r="I463" s="9" t="str" cm="1">
        <f t="array" ref="I463">_xlfn.LET(_xlpm.total,SUM(D463:G463),_xlpm.maxv,MAX(D463:G463),IF(_xlpm.total=0,"",IF(_xlpm.maxv/_xlpm.total&lt;0.5,"Mixed-Class",_xlfn.IFS(_xlpm.maxv=D463,"Assault",_xlpm.maxv=E463,"Engineer",_xlpm.maxv=F463,"Recon",_xlpm.maxv=G463,"Support"))))</f>
        <v/>
      </c>
      <c r="J463" t="str">
        <f t="shared" si="31"/>
        <v/>
      </c>
      <c r="K463" s="10" t="str">
        <f t="shared" si="32"/>
        <v/>
      </c>
    </row>
    <row r="464" spans="2:11" x14ac:dyDescent="0.25">
      <c r="B464">
        <v>4627</v>
      </c>
      <c r="H464">
        <f t="shared" si="30"/>
        <v>0</v>
      </c>
      <c r="I464" s="9" t="str" cm="1">
        <f t="array" ref="I464">_xlfn.LET(_xlpm.total,SUM(D464:G464),_xlpm.maxv,MAX(D464:G464),IF(_xlpm.total=0,"",IF(_xlpm.maxv/_xlpm.total&lt;0.5,"Mixed-Class",_xlfn.IFS(_xlpm.maxv=D464,"Assault",_xlpm.maxv=E464,"Engineer",_xlpm.maxv=F464,"Recon",_xlpm.maxv=G464,"Support"))))</f>
        <v/>
      </c>
      <c r="J464" t="str">
        <f t="shared" si="31"/>
        <v/>
      </c>
      <c r="K464" s="10" t="str">
        <f t="shared" si="32"/>
        <v/>
      </c>
    </row>
    <row r="465" spans="2:11" x14ac:dyDescent="0.25">
      <c r="B465">
        <v>4637</v>
      </c>
      <c r="H465">
        <f t="shared" si="30"/>
        <v>0</v>
      </c>
      <c r="I465" s="9" t="str" cm="1">
        <f t="array" ref="I465">_xlfn.LET(_xlpm.total,SUM(D465:G465),_xlpm.maxv,MAX(D465:G465),IF(_xlpm.total=0,"",IF(_xlpm.maxv/_xlpm.total&lt;0.5,"Mixed-Class",_xlfn.IFS(_xlpm.maxv=D465,"Assault",_xlpm.maxv=E465,"Engineer",_xlpm.maxv=F465,"Recon",_xlpm.maxv=G465,"Support"))))</f>
        <v/>
      </c>
      <c r="J465" t="str">
        <f t="shared" si="31"/>
        <v/>
      </c>
      <c r="K465" s="10" t="str">
        <f t="shared" si="32"/>
        <v/>
      </c>
    </row>
    <row r="466" spans="2:11" x14ac:dyDescent="0.25">
      <c r="B466">
        <v>4647</v>
      </c>
      <c r="H466">
        <f t="shared" si="30"/>
        <v>0</v>
      </c>
      <c r="I466" s="9" t="str" cm="1">
        <f t="array" ref="I466">_xlfn.LET(_xlpm.total,SUM(D466:G466),_xlpm.maxv,MAX(D466:G466),IF(_xlpm.total=0,"",IF(_xlpm.maxv/_xlpm.total&lt;0.5,"Mixed-Class",_xlfn.IFS(_xlpm.maxv=D466,"Assault",_xlpm.maxv=E466,"Engineer",_xlpm.maxv=F466,"Recon",_xlpm.maxv=G466,"Support"))))</f>
        <v/>
      </c>
      <c r="J466" t="str">
        <f t="shared" si="31"/>
        <v/>
      </c>
      <c r="K466" s="10" t="str">
        <f t="shared" si="32"/>
        <v/>
      </c>
    </row>
    <row r="467" spans="2:11" x14ac:dyDescent="0.25">
      <c r="B467">
        <v>4657</v>
      </c>
      <c r="H467">
        <f t="shared" si="30"/>
        <v>0</v>
      </c>
      <c r="I467" s="9" t="str" cm="1">
        <f t="array" ref="I467">_xlfn.LET(_xlpm.total,SUM(D467:G467),_xlpm.maxv,MAX(D467:G467),IF(_xlpm.total=0,"",IF(_xlpm.maxv/_xlpm.total&lt;0.5,"Mixed-Class",_xlfn.IFS(_xlpm.maxv=D467,"Assault",_xlpm.maxv=E467,"Engineer",_xlpm.maxv=F467,"Recon",_xlpm.maxv=G467,"Support"))))</f>
        <v/>
      </c>
      <c r="J467" t="str">
        <f t="shared" si="31"/>
        <v/>
      </c>
      <c r="K467" s="10" t="str">
        <f t="shared" si="32"/>
        <v/>
      </c>
    </row>
    <row r="468" spans="2:11" x14ac:dyDescent="0.25">
      <c r="B468">
        <v>4667</v>
      </c>
      <c r="H468">
        <f t="shared" si="30"/>
        <v>0</v>
      </c>
      <c r="I468" s="9" t="str" cm="1">
        <f t="array" ref="I468">_xlfn.LET(_xlpm.total,SUM(D468:G468),_xlpm.maxv,MAX(D468:G468),IF(_xlpm.total=0,"",IF(_xlpm.maxv/_xlpm.total&lt;0.5,"Mixed-Class",_xlfn.IFS(_xlpm.maxv=D468,"Assault",_xlpm.maxv=E468,"Engineer",_xlpm.maxv=F468,"Recon",_xlpm.maxv=G468,"Support"))))</f>
        <v/>
      </c>
      <c r="J468" t="str">
        <f t="shared" si="31"/>
        <v/>
      </c>
      <c r="K468" s="10" t="str">
        <f t="shared" si="32"/>
        <v/>
      </c>
    </row>
    <row r="469" spans="2:11" x14ac:dyDescent="0.25">
      <c r="B469">
        <v>4677</v>
      </c>
      <c r="H469">
        <f t="shared" si="30"/>
        <v>0</v>
      </c>
      <c r="I469" s="9" t="str" cm="1">
        <f t="array" ref="I469">_xlfn.LET(_xlpm.total,SUM(D469:G469),_xlpm.maxv,MAX(D469:G469),IF(_xlpm.total=0,"",IF(_xlpm.maxv/_xlpm.total&lt;0.5,"Mixed-Class",_xlfn.IFS(_xlpm.maxv=D469,"Assault",_xlpm.maxv=E469,"Engineer",_xlpm.maxv=F469,"Recon",_xlpm.maxv=G469,"Support"))))</f>
        <v/>
      </c>
      <c r="J469" t="str">
        <f t="shared" si="31"/>
        <v/>
      </c>
      <c r="K469" s="10" t="str">
        <f t="shared" si="32"/>
        <v/>
      </c>
    </row>
    <row r="470" spans="2:11" x14ac:dyDescent="0.25">
      <c r="B470">
        <v>4687</v>
      </c>
      <c r="H470">
        <f t="shared" si="30"/>
        <v>0</v>
      </c>
      <c r="I470" s="9" t="str" cm="1">
        <f t="array" ref="I470">_xlfn.LET(_xlpm.total,SUM(D470:G470),_xlpm.maxv,MAX(D470:G470),IF(_xlpm.total=0,"",IF(_xlpm.maxv/_xlpm.total&lt;0.5,"Mixed-Class",_xlfn.IFS(_xlpm.maxv=D470,"Assault",_xlpm.maxv=E470,"Engineer",_xlpm.maxv=F470,"Recon",_xlpm.maxv=G470,"Support"))))</f>
        <v/>
      </c>
      <c r="J470" t="str">
        <f t="shared" si="31"/>
        <v/>
      </c>
      <c r="K470" s="10" t="str">
        <f t="shared" si="32"/>
        <v/>
      </c>
    </row>
    <row r="471" spans="2:11" x14ac:dyDescent="0.25">
      <c r="B471">
        <v>4697</v>
      </c>
      <c r="H471">
        <f t="shared" si="30"/>
        <v>0</v>
      </c>
      <c r="I471" s="9" t="str" cm="1">
        <f t="array" ref="I471">_xlfn.LET(_xlpm.total,SUM(D471:G471),_xlpm.maxv,MAX(D471:G471),IF(_xlpm.total=0,"",IF(_xlpm.maxv/_xlpm.total&lt;0.5,"Mixed-Class",_xlfn.IFS(_xlpm.maxv=D471,"Assault",_xlpm.maxv=E471,"Engineer",_xlpm.maxv=F471,"Recon",_xlpm.maxv=G471,"Support"))))</f>
        <v/>
      </c>
      <c r="J471" t="str">
        <f t="shared" si="31"/>
        <v/>
      </c>
      <c r="K471" s="10" t="str">
        <f t="shared" si="32"/>
        <v/>
      </c>
    </row>
    <row r="472" spans="2:11" x14ac:dyDescent="0.25">
      <c r="B472">
        <v>4707</v>
      </c>
      <c r="H472">
        <f t="shared" si="30"/>
        <v>0</v>
      </c>
      <c r="I472" s="9" t="str" cm="1">
        <f t="array" ref="I472">_xlfn.LET(_xlpm.total,SUM(D472:G472),_xlpm.maxv,MAX(D472:G472),IF(_xlpm.total=0,"",IF(_xlpm.maxv/_xlpm.total&lt;0.5,"Mixed-Class",_xlfn.IFS(_xlpm.maxv=D472,"Assault",_xlpm.maxv=E472,"Engineer",_xlpm.maxv=F472,"Recon",_xlpm.maxv=G472,"Support"))))</f>
        <v/>
      </c>
      <c r="J472" t="str">
        <f t="shared" si="31"/>
        <v/>
      </c>
      <c r="K472" s="10" t="str">
        <f t="shared" si="32"/>
        <v/>
      </c>
    </row>
    <row r="473" spans="2:11" x14ac:dyDescent="0.25">
      <c r="B473">
        <v>4717</v>
      </c>
      <c r="H473">
        <f t="shared" si="30"/>
        <v>0</v>
      </c>
      <c r="I473" s="9" t="str" cm="1">
        <f t="array" ref="I473">_xlfn.LET(_xlpm.total,SUM(D473:G473),_xlpm.maxv,MAX(D473:G473),IF(_xlpm.total=0,"",IF(_xlpm.maxv/_xlpm.total&lt;0.5,"Mixed-Class",_xlfn.IFS(_xlpm.maxv=D473,"Assault",_xlpm.maxv=E473,"Engineer",_xlpm.maxv=F473,"Recon",_xlpm.maxv=G473,"Support"))))</f>
        <v/>
      </c>
      <c r="J473" t="str">
        <f t="shared" si="31"/>
        <v/>
      </c>
      <c r="K473" s="10" t="str">
        <f t="shared" si="32"/>
        <v/>
      </c>
    </row>
    <row r="474" spans="2:11" x14ac:dyDescent="0.25">
      <c r="B474">
        <v>4727</v>
      </c>
      <c r="H474">
        <f t="shared" si="30"/>
        <v>0</v>
      </c>
      <c r="I474" s="9" t="str" cm="1">
        <f t="array" ref="I474">_xlfn.LET(_xlpm.total,SUM(D474:G474),_xlpm.maxv,MAX(D474:G474),IF(_xlpm.total=0,"",IF(_xlpm.maxv/_xlpm.total&lt;0.5,"Mixed-Class",_xlfn.IFS(_xlpm.maxv=D474,"Assault",_xlpm.maxv=E474,"Engineer",_xlpm.maxv=F474,"Recon",_xlpm.maxv=G474,"Support"))))</f>
        <v/>
      </c>
      <c r="J474" t="str">
        <f t="shared" si="31"/>
        <v/>
      </c>
      <c r="K474" s="10" t="str">
        <f t="shared" si="32"/>
        <v/>
      </c>
    </row>
    <row r="475" spans="2:11" x14ac:dyDescent="0.25">
      <c r="B475">
        <v>4737</v>
      </c>
      <c r="H475">
        <f t="shared" si="30"/>
        <v>0</v>
      </c>
      <c r="I475" s="9" t="str" cm="1">
        <f t="array" ref="I475">_xlfn.LET(_xlpm.total,SUM(D475:G475),_xlpm.maxv,MAX(D475:G475),IF(_xlpm.total=0,"",IF(_xlpm.maxv/_xlpm.total&lt;0.5,"Mixed-Class",_xlfn.IFS(_xlpm.maxv=D475,"Assault",_xlpm.maxv=E475,"Engineer",_xlpm.maxv=F475,"Recon",_xlpm.maxv=G475,"Support"))))</f>
        <v/>
      </c>
      <c r="J475" t="str">
        <f t="shared" si="31"/>
        <v/>
      </c>
      <c r="K475" s="10" t="str">
        <f t="shared" si="32"/>
        <v/>
      </c>
    </row>
    <row r="476" spans="2:11" x14ac:dyDescent="0.25">
      <c r="B476">
        <v>4747</v>
      </c>
      <c r="H476">
        <f t="shared" si="30"/>
        <v>0</v>
      </c>
      <c r="I476" s="9" t="str" cm="1">
        <f t="array" ref="I476">_xlfn.LET(_xlpm.total,SUM(D476:G476),_xlpm.maxv,MAX(D476:G476),IF(_xlpm.total=0,"",IF(_xlpm.maxv/_xlpm.total&lt;0.5,"Mixed-Class",_xlfn.IFS(_xlpm.maxv=D476,"Assault",_xlpm.maxv=E476,"Engineer",_xlpm.maxv=F476,"Recon",_xlpm.maxv=G476,"Support"))))</f>
        <v/>
      </c>
      <c r="J476" t="str">
        <f t="shared" si="31"/>
        <v/>
      </c>
      <c r="K476" s="10" t="str">
        <f t="shared" si="32"/>
        <v/>
      </c>
    </row>
    <row r="477" spans="2:11" x14ac:dyDescent="0.25">
      <c r="B477">
        <v>4757</v>
      </c>
      <c r="H477">
        <f t="shared" si="30"/>
        <v>0</v>
      </c>
      <c r="I477" s="9" t="str" cm="1">
        <f t="array" ref="I477">_xlfn.LET(_xlpm.total,SUM(D477:G477),_xlpm.maxv,MAX(D477:G477),IF(_xlpm.total=0,"",IF(_xlpm.maxv/_xlpm.total&lt;0.5,"Mixed-Class",_xlfn.IFS(_xlpm.maxv=D477,"Assault",_xlpm.maxv=E477,"Engineer",_xlpm.maxv=F477,"Recon",_xlpm.maxv=G477,"Support"))))</f>
        <v/>
      </c>
      <c r="J477" t="str">
        <f t="shared" si="31"/>
        <v/>
      </c>
      <c r="K477" s="10" t="str">
        <f t="shared" si="32"/>
        <v/>
      </c>
    </row>
    <row r="478" spans="2:11" x14ac:dyDescent="0.25">
      <c r="B478">
        <v>4767</v>
      </c>
      <c r="H478">
        <f t="shared" si="30"/>
        <v>0</v>
      </c>
      <c r="I478" s="9" t="str" cm="1">
        <f t="array" ref="I478">_xlfn.LET(_xlpm.total,SUM(D478:G478),_xlpm.maxv,MAX(D478:G478),IF(_xlpm.total=0,"",IF(_xlpm.maxv/_xlpm.total&lt;0.5,"Mixed-Class",_xlfn.IFS(_xlpm.maxv=D478,"Assault",_xlpm.maxv=E478,"Engineer",_xlpm.maxv=F478,"Recon",_xlpm.maxv=G478,"Support"))))</f>
        <v/>
      </c>
      <c r="J478" t="str">
        <f t="shared" si="31"/>
        <v/>
      </c>
      <c r="K478" s="10" t="str">
        <f t="shared" si="32"/>
        <v/>
      </c>
    </row>
    <row r="479" spans="2:11" x14ac:dyDescent="0.25">
      <c r="B479">
        <v>4777</v>
      </c>
      <c r="H479">
        <f t="shared" si="30"/>
        <v>0</v>
      </c>
      <c r="I479" s="9" t="str" cm="1">
        <f t="array" ref="I479">_xlfn.LET(_xlpm.total,SUM(D479:G479),_xlpm.maxv,MAX(D479:G479),IF(_xlpm.total=0,"",IF(_xlpm.maxv/_xlpm.total&lt;0.5,"Mixed-Class",_xlfn.IFS(_xlpm.maxv=D479,"Assault",_xlpm.maxv=E479,"Engineer",_xlpm.maxv=F479,"Recon",_xlpm.maxv=G479,"Support"))))</f>
        <v/>
      </c>
      <c r="J479" t="str">
        <f t="shared" si="31"/>
        <v/>
      </c>
      <c r="K479" s="10" t="str">
        <f t="shared" si="32"/>
        <v/>
      </c>
    </row>
    <row r="480" spans="2:11" x14ac:dyDescent="0.25">
      <c r="B480">
        <v>4787</v>
      </c>
      <c r="H480">
        <f t="shared" si="30"/>
        <v>0</v>
      </c>
      <c r="I480" s="9" t="str" cm="1">
        <f t="array" ref="I480">_xlfn.LET(_xlpm.total,SUM(D480:G480),_xlpm.maxv,MAX(D480:G480),IF(_xlpm.total=0,"",IF(_xlpm.maxv/_xlpm.total&lt;0.5,"Mixed-Class",_xlfn.IFS(_xlpm.maxv=D480,"Assault",_xlpm.maxv=E480,"Engineer",_xlpm.maxv=F480,"Recon",_xlpm.maxv=G480,"Support"))))</f>
        <v/>
      </c>
      <c r="J480" t="str">
        <f t="shared" si="31"/>
        <v/>
      </c>
      <c r="K480" s="10" t="str">
        <f t="shared" si="32"/>
        <v/>
      </c>
    </row>
    <row r="481" spans="2:11" x14ac:dyDescent="0.25">
      <c r="B481">
        <v>4797</v>
      </c>
      <c r="H481">
        <f t="shared" si="30"/>
        <v>0</v>
      </c>
      <c r="I481" s="9" t="str" cm="1">
        <f t="array" ref="I481">_xlfn.LET(_xlpm.total,SUM(D481:G481),_xlpm.maxv,MAX(D481:G481),IF(_xlpm.total=0,"",IF(_xlpm.maxv/_xlpm.total&lt;0.5,"Mixed-Class",_xlfn.IFS(_xlpm.maxv=D481,"Assault",_xlpm.maxv=E481,"Engineer",_xlpm.maxv=F481,"Recon",_xlpm.maxv=G481,"Support"))))</f>
        <v/>
      </c>
      <c r="J481" t="str">
        <f t="shared" si="31"/>
        <v/>
      </c>
      <c r="K481" s="10" t="str">
        <f t="shared" si="32"/>
        <v/>
      </c>
    </row>
    <row r="482" spans="2:11" x14ac:dyDescent="0.25">
      <c r="B482">
        <v>4807</v>
      </c>
      <c r="H482">
        <f t="shared" si="30"/>
        <v>0</v>
      </c>
      <c r="I482" s="9" t="str" cm="1">
        <f t="array" ref="I482">_xlfn.LET(_xlpm.total,SUM(D482:G482),_xlpm.maxv,MAX(D482:G482),IF(_xlpm.total=0,"",IF(_xlpm.maxv/_xlpm.total&lt;0.5,"Mixed-Class",_xlfn.IFS(_xlpm.maxv=D482,"Assault",_xlpm.maxv=E482,"Engineer",_xlpm.maxv=F482,"Recon",_xlpm.maxv=G482,"Support"))))</f>
        <v/>
      </c>
      <c r="J482" t="str">
        <f t="shared" si="31"/>
        <v/>
      </c>
      <c r="K482" s="10" t="str">
        <f t="shared" si="32"/>
        <v/>
      </c>
    </row>
    <row r="483" spans="2:11" x14ac:dyDescent="0.25">
      <c r="B483">
        <v>4817</v>
      </c>
      <c r="H483">
        <f t="shared" si="30"/>
        <v>0</v>
      </c>
      <c r="I483" s="9" t="str" cm="1">
        <f t="array" ref="I483">_xlfn.LET(_xlpm.total,SUM(D483:G483),_xlpm.maxv,MAX(D483:G483),IF(_xlpm.total=0,"",IF(_xlpm.maxv/_xlpm.total&lt;0.5,"Mixed-Class",_xlfn.IFS(_xlpm.maxv=D483,"Assault",_xlpm.maxv=E483,"Engineer",_xlpm.maxv=F483,"Recon",_xlpm.maxv=G483,"Support"))))</f>
        <v/>
      </c>
      <c r="J483" t="str">
        <f t="shared" si="31"/>
        <v/>
      </c>
      <c r="K483" s="10" t="str">
        <f t="shared" si="32"/>
        <v/>
      </c>
    </row>
    <row r="484" spans="2:11" x14ac:dyDescent="0.25">
      <c r="B484">
        <v>4827</v>
      </c>
      <c r="H484">
        <f t="shared" si="30"/>
        <v>0</v>
      </c>
      <c r="I484" s="9" t="str" cm="1">
        <f t="array" ref="I484">_xlfn.LET(_xlpm.total,SUM(D484:G484),_xlpm.maxv,MAX(D484:G484),IF(_xlpm.total=0,"",IF(_xlpm.maxv/_xlpm.total&lt;0.5,"Mixed-Class",_xlfn.IFS(_xlpm.maxv=D484,"Assault",_xlpm.maxv=E484,"Engineer",_xlpm.maxv=F484,"Recon",_xlpm.maxv=G484,"Support"))))</f>
        <v/>
      </c>
      <c r="J484" t="str">
        <f t="shared" si="31"/>
        <v/>
      </c>
      <c r="K484" s="10" t="str">
        <f t="shared" si="32"/>
        <v/>
      </c>
    </row>
    <row r="485" spans="2:11" x14ac:dyDescent="0.25">
      <c r="B485">
        <v>4837</v>
      </c>
      <c r="H485">
        <f t="shared" si="30"/>
        <v>0</v>
      </c>
      <c r="I485" s="9" t="str" cm="1">
        <f t="array" ref="I485">_xlfn.LET(_xlpm.total,SUM(D485:G485),_xlpm.maxv,MAX(D485:G485),IF(_xlpm.total=0,"",IF(_xlpm.maxv/_xlpm.total&lt;0.5,"Mixed-Class",_xlfn.IFS(_xlpm.maxv=D485,"Assault",_xlpm.maxv=E485,"Engineer",_xlpm.maxv=F485,"Recon",_xlpm.maxv=G485,"Support"))))</f>
        <v/>
      </c>
      <c r="J485" t="str">
        <f t="shared" si="31"/>
        <v/>
      </c>
      <c r="K485" s="10" t="str">
        <f t="shared" si="32"/>
        <v/>
      </c>
    </row>
    <row r="486" spans="2:11" x14ac:dyDescent="0.25">
      <c r="B486">
        <v>4847</v>
      </c>
      <c r="H486">
        <f t="shared" si="30"/>
        <v>0</v>
      </c>
      <c r="I486" s="9" t="str" cm="1">
        <f t="array" ref="I486">_xlfn.LET(_xlpm.total,SUM(D486:G486),_xlpm.maxv,MAX(D486:G486),IF(_xlpm.total=0,"",IF(_xlpm.maxv/_xlpm.total&lt;0.5,"Mixed-Class",_xlfn.IFS(_xlpm.maxv=D486,"Assault",_xlpm.maxv=E486,"Engineer",_xlpm.maxv=F486,"Recon",_xlpm.maxv=G486,"Support"))))</f>
        <v/>
      </c>
      <c r="J486" t="str">
        <f t="shared" si="31"/>
        <v/>
      </c>
      <c r="K486" s="10" t="str">
        <f t="shared" si="32"/>
        <v/>
      </c>
    </row>
    <row r="487" spans="2:11" x14ac:dyDescent="0.25">
      <c r="B487">
        <v>4857</v>
      </c>
      <c r="H487">
        <f t="shared" si="30"/>
        <v>0</v>
      </c>
      <c r="I487" s="9" t="str" cm="1">
        <f t="array" ref="I487">_xlfn.LET(_xlpm.total,SUM(D487:G487),_xlpm.maxv,MAX(D487:G487),IF(_xlpm.total=0,"",IF(_xlpm.maxv/_xlpm.total&lt;0.5,"Mixed-Class",_xlfn.IFS(_xlpm.maxv=D487,"Assault",_xlpm.maxv=E487,"Engineer",_xlpm.maxv=F487,"Recon",_xlpm.maxv=G487,"Support"))))</f>
        <v/>
      </c>
      <c r="J487" t="str">
        <f t="shared" si="31"/>
        <v/>
      </c>
      <c r="K487" s="10" t="str">
        <f t="shared" si="32"/>
        <v/>
      </c>
    </row>
    <row r="488" spans="2:11" x14ac:dyDescent="0.25">
      <c r="B488">
        <v>4867</v>
      </c>
      <c r="H488">
        <f t="shared" si="30"/>
        <v>0</v>
      </c>
      <c r="I488" s="9" t="str" cm="1">
        <f t="array" ref="I488">_xlfn.LET(_xlpm.total,SUM(D488:G488),_xlpm.maxv,MAX(D488:G488),IF(_xlpm.total=0,"",IF(_xlpm.maxv/_xlpm.total&lt;0.5,"Mixed-Class",_xlfn.IFS(_xlpm.maxv=D488,"Assault",_xlpm.maxv=E488,"Engineer",_xlpm.maxv=F488,"Recon",_xlpm.maxv=G488,"Support"))))</f>
        <v/>
      </c>
      <c r="J488" t="str">
        <f t="shared" si="31"/>
        <v/>
      </c>
      <c r="K488" s="10" t="str">
        <f t="shared" si="32"/>
        <v/>
      </c>
    </row>
    <row r="489" spans="2:11" x14ac:dyDescent="0.25">
      <c r="B489">
        <v>4877</v>
      </c>
      <c r="H489">
        <f t="shared" si="30"/>
        <v>0</v>
      </c>
      <c r="I489" s="9" t="str" cm="1">
        <f t="array" ref="I489">_xlfn.LET(_xlpm.total,SUM(D489:G489),_xlpm.maxv,MAX(D489:G489),IF(_xlpm.total=0,"",IF(_xlpm.maxv/_xlpm.total&lt;0.5,"Mixed-Class",_xlfn.IFS(_xlpm.maxv=D489,"Assault",_xlpm.maxv=E489,"Engineer",_xlpm.maxv=F489,"Recon",_xlpm.maxv=G489,"Support"))))</f>
        <v/>
      </c>
      <c r="J489" t="str">
        <f t="shared" si="31"/>
        <v/>
      </c>
      <c r="K489" s="10" t="str">
        <f t="shared" si="32"/>
        <v/>
      </c>
    </row>
    <row r="490" spans="2:11" x14ac:dyDescent="0.25">
      <c r="B490">
        <v>4887</v>
      </c>
      <c r="H490">
        <f t="shared" si="30"/>
        <v>0</v>
      </c>
      <c r="I490" s="9" t="str" cm="1">
        <f t="array" ref="I490">_xlfn.LET(_xlpm.total,SUM(D490:G490),_xlpm.maxv,MAX(D490:G490),IF(_xlpm.total=0,"",IF(_xlpm.maxv/_xlpm.total&lt;0.5,"Mixed-Class",_xlfn.IFS(_xlpm.maxv=D490,"Assault",_xlpm.maxv=E490,"Engineer",_xlpm.maxv=F490,"Recon",_xlpm.maxv=G490,"Support"))))</f>
        <v/>
      </c>
      <c r="J490" t="str">
        <f t="shared" si="31"/>
        <v/>
      </c>
      <c r="K490" s="10" t="str">
        <f t="shared" si="32"/>
        <v/>
      </c>
    </row>
    <row r="491" spans="2:11" x14ac:dyDescent="0.25">
      <c r="B491">
        <v>4897</v>
      </c>
      <c r="H491">
        <f t="shared" si="30"/>
        <v>0</v>
      </c>
      <c r="I491" s="9" t="str" cm="1">
        <f t="array" ref="I491">_xlfn.LET(_xlpm.total,SUM(D491:G491),_xlpm.maxv,MAX(D491:G491),IF(_xlpm.total=0,"",IF(_xlpm.maxv/_xlpm.total&lt;0.5,"Mixed-Class",_xlfn.IFS(_xlpm.maxv=D491,"Assault",_xlpm.maxv=E491,"Engineer",_xlpm.maxv=F491,"Recon",_xlpm.maxv=G491,"Support"))))</f>
        <v/>
      </c>
      <c r="J491" t="str">
        <f t="shared" si="31"/>
        <v/>
      </c>
      <c r="K491" s="10" t="str">
        <f t="shared" si="32"/>
        <v/>
      </c>
    </row>
    <row r="492" spans="2:11" x14ac:dyDescent="0.25">
      <c r="B492">
        <v>4907</v>
      </c>
      <c r="H492">
        <f t="shared" si="30"/>
        <v>0</v>
      </c>
      <c r="I492" s="9" t="str" cm="1">
        <f t="array" ref="I492">_xlfn.LET(_xlpm.total,SUM(D492:G492),_xlpm.maxv,MAX(D492:G492),IF(_xlpm.total=0,"",IF(_xlpm.maxv/_xlpm.total&lt;0.5,"Mixed-Class",_xlfn.IFS(_xlpm.maxv=D492,"Assault",_xlpm.maxv=E492,"Engineer",_xlpm.maxv=F492,"Recon",_xlpm.maxv=G492,"Support"))))</f>
        <v/>
      </c>
      <c r="J492" t="str">
        <f t="shared" si="31"/>
        <v/>
      </c>
      <c r="K492" s="10" t="str">
        <f t="shared" si="32"/>
        <v/>
      </c>
    </row>
    <row r="493" spans="2:11" x14ac:dyDescent="0.25">
      <c r="B493">
        <v>4917</v>
      </c>
      <c r="H493">
        <f t="shared" si="30"/>
        <v>0</v>
      </c>
      <c r="I493" s="9" t="str" cm="1">
        <f t="array" ref="I493">_xlfn.LET(_xlpm.total,SUM(D493:G493),_xlpm.maxv,MAX(D493:G493),IF(_xlpm.total=0,"",IF(_xlpm.maxv/_xlpm.total&lt;0.5,"Mixed-Class",_xlfn.IFS(_xlpm.maxv=D493,"Assault",_xlpm.maxv=E493,"Engineer",_xlpm.maxv=F493,"Recon",_xlpm.maxv=G493,"Support"))))</f>
        <v/>
      </c>
      <c r="J493" t="str">
        <f t="shared" si="31"/>
        <v/>
      </c>
      <c r="K493" s="10" t="str">
        <f t="shared" si="32"/>
        <v/>
      </c>
    </row>
    <row r="494" spans="2:11" x14ac:dyDescent="0.25">
      <c r="B494">
        <v>4927</v>
      </c>
      <c r="H494">
        <f t="shared" si="30"/>
        <v>0</v>
      </c>
      <c r="I494" s="9" t="str" cm="1">
        <f t="array" ref="I494">_xlfn.LET(_xlpm.total,SUM(D494:G494),_xlpm.maxv,MAX(D494:G494),IF(_xlpm.total=0,"",IF(_xlpm.maxv/_xlpm.total&lt;0.5,"Mixed-Class",_xlfn.IFS(_xlpm.maxv=D494,"Assault",_xlpm.maxv=E494,"Engineer",_xlpm.maxv=F494,"Recon",_xlpm.maxv=G494,"Support"))))</f>
        <v/>
      </c>
      <c r="J494" t="str">
        <f t="shared" si="31"/>
        <v/>
      </c>
      <c r="K494" s="10" t="str">
        <f t="shared" si="32"/>
        <v/>
      </c>
    </row>
    <row r="495" spans="2:11" x14ac:dyDescent="0.25">
      <c r="B495">
        <v>4937</v>
      </c>
      <c r="H495">
        <f t="shared" si="30"/>
        <v>0</v>
      </c>
      <c r="I495" s="9" t="str" cm="1">
        <f t="array" ref="I495">_xlfn.LET(_xlpm.total,SUM(D495:G495),_xlpm.maxv,MAX(D495:G495),IF(_xlpm.total=0,"",IF(_xlpm.maxv/_xlpm.total&lt;0.5,"Mixed-Class",_xlfn.IFS(_xlpm.maxv=D495,"Assault",_xlpm.maxv=E495,"Engineer",_xlpm.maxv=F495,"Recon",_xlpm.maxv=G495,"Support"))))</f>
        <v/>
      </c>
      <c r="J495" t="str">
        <f t="shared" si="31"/>
        <v/>
      </c>
      <c r="K495" s="10" t="str">
        <f t="shared" si="32"/>
        <v/>
      </c>
    </row>
    <row r="496" spans="2:11" x14ac:dyDescent="0.25">
      <c r="B496">
        <v>4947</v>
      </c>
      <c r="H496">
        <f t="shared" si="30"/>
        <v>0</v>
      </c>
      <c r="I496" s="9" t="str" cm="1">
        <f t="array" ref="I496">_xlfn.LET(_xlpm.total,SUM(D496:G496),_xlpm.maxv,MAX(D496:G496),IF(_xlpm.total=0,"",IF(_xlpm.maxv/_xlpm.total&lt;0.5,"Mixed-Class",_xlfn.IFS(_xlpm.maxv=D496,"Assault",_xlpm.maxv=E496,"Engineer",_xlpm.maxv=F496,"Recon",_xlpm.maxv=G496,"Support"))))</f>
        <v/>
      </c>
      <c r="J496" t="str">
        <f t="shared" si="31"/>
        <v/>
      </c>
      <c r="K496" s="10" t="str">
        <f t="shared" si="32"/>
        <v/>
      </c>
    </row>
    <row r="497" spans="2:11" x14ac:dyDescent="0.25">
      <c r="B497">
        <v>4957</v>
      </c>
      <c r="H497">
        <f t="shared" si="30"/>
        <v>0</v>
      </c>
      <c r="I497" s="9" t="str" cm="1">
        <f t="array" ref="I497">_xlfn.LET(_xlpm.total,SUM(D497:G497),_xlpm.maxv,MAX(D497:G497),IF(_xlpm.total=0,"",IF(_xlpm.maxv/_xlpm.total&lt;0.5,"Mixed-Class",_xlfn.IFS(_xlpm.maxv=D497,"Assault",_xlpm.maxv=E497,"Engineer",_xlpm.maxv=F497,"Recon",_xlpm.maxv=G497,"Support"))))</f>
        <v/>
      </c>
      <c r="J497" t="str">
        <f t="shared" si="31"/>
        <v/>
      </c>
      <c r="K497" s="10" t="str">
        <f t="shared" si="32"/>
        <v/>
      </c>
    </row>
    <row r="498" spans="2:11" x14ac:dyDescent="0.25">
      <c r="B498">
        <v>4967</v>
      </c>
      <c r="H498">
        <f t="shared" si="30"/>
        <v>0</v>
      </c>
      <c r="I498" s="9" t="str" cm="1">
        <f t="array" ref="I498">_xlfn.LET(_xlpm.total,SUM(D498:G498),_xlpm.maxv,MAX(D498:G498),IF(_xlpm.total=0,"",IF(_xlpm.maxv/_xlpm.total&lt;0.5,"Mixed-Class",_xlfn.IFS(_xlpm.maxv=D498,"Assault",_xlpm.maxv=E498,"Engineer",_xlpm.maxv=F498,"Recon",_xlpm.maxv=G498,"Support"))))</f>
        <v/>
      </c>
      <c r="J498" t="str">
        <f t="shared" si="31"/>
        <v/>
      </c>
      <c r="K498" s="10" t="str">
        <f t="shared" si="32"/>
        <v/>
      </c>
    </row>
    <row r="499" spans="2:11" x14ac:dyDescent="0.25">
      <c r="B499">
        <v>4977</v>
      </c>
      <c r="H499">
        <f t="shared" si="30"/>
        <v>0</v>
      </c>
      <c r="I499" s="9" t="str" cm="1">
        <f t="array" ref="I499">_xlfn.LET(_xlpm.total,SUM(D499:G499),_xlpm.maxv,MAX(D499:G499),IF(_xlpm.total=0,"",IF(_xlpm.maxv/_xlpm.total&lt;0.5,"Mixed-Class",_xlfn.IFS(_xlpm.maxv=D499,"Assault",_xlpm.maxv=E499,"Engineer",_xlpm.maxv=F499,"Recon",_xlpm.maxv=G499,"Support"))))</f>
        <v/>
      </c>
      <c r="J499" t="str">
        <f t="shared" si="31"/>
        <v/>
      </c>
      <c r="K499" s="10" t="str">
        <f t="shared" si="32"/>
        <v/>
      </c>
    </row>
    <row r="500" spans="2:11" x14ac:dyDescent="0.25">
      <c r="B500">
        <v>4987</v>
      </c>
      <c r="H500">
        <f t="shared" si="30"/>
        <v>0</v>
      </c>
      <c r="I500" s="9" t="str" cm="1">
        <f t="array" ref="I500">_xlfn.LET(_xlpm.total,SUM(D500:G500),_xlpm.maxv,MAX(D500:G500),IF(_xlpm.total=0,"",IF(_xlpm.maxv/_xlpm.total&lt;0.5,"Mixed-Class",_xlfn.IFS(_xlpm.maxv=D500,"Assault",_xlpm.maxv=E500,"Engineer",_xlpm.maxv=F500,"Recon",_xlpm.maxv=G500,"Support"))))</f>
        <v/>
      </c>
      <c r="J500" t="str">
        <f t="shared" si="31"/>
        <v/>
      </c>
      <c r="K500" s="10" t="str">
        <f t="shared" si="32"/>
        <v/>
      </c>
    </row>
    <row r="501" spans="2:11" x14ac:dyDescent="0.25">
      <c r="B501">
        <v>4997</v>
      </c>
      <c r="H501">
        <f t="shared" si="30"/>
        <v>0</v>
      </c>
      <c r="I501" s="9" t="str" cm="1">
        <f t="array" ref="I501">_xlfn.LET(_xlpm.total,SUM(D501:G501),_xlpm.maxv,MAX(D501:G501),IF(_xlpm.total=0,"",IF(_xlpm.maxv/_xlpm.total&lt;0.5,"Mixed-Class",_xlfn.IFS(_xlpm.maxv=D501,"Assault",_xlpm.maxv=E501,"Engineer",_xlpm.maxv=F501,"Recon",_xlpm.maxv=G501,"Support"))))</f>
        <v/>
      </c>
      <c r="J501" t="str">
        <f t="shared" si="31"/>
        <v/>
      </c>
      <c r="K501" s="10" t="str">
        <f t="shared" si="32"/>
        <v/>
      </c>
    </row>
    <row r="502" spans="2:11" x14ac:dyDescent="0.25">
      <c r="B502">
        <v>5007</v>
      </c>
      <c r="H502">
        <f t="shared" si="30"/>
        <v>0</v>
      </c>
      <c r="I502" s="9" t="str" cm="1">
        <f t="array" ref="I502">_xlfn.LET(_xlpm.total,SUM(D502:G502),_xlpm.maxv,MAX(D502:G502),IF(_xlpm.total=0,"",IF(_xlpm.maxv/_xlpm.total&lt;0.5,"Mixed-Class",_xlfn.IFS(_xlpm.maxv=D502,"Assault",_xlpm.maxv=E502,"Engineer",_xlpm.maxv=F502,"Recon",_xlpm.maxv=G502,"Support"))))</f>
        <v/>
      </c>
      <c r="J502" t="str">
        <f t="shared" si="31"/>
        <v/>
      </c>
      <c r="K502" s="10" t="str">
        <f t="shared" si="32"/>
        <v/>
      </c>
    </row>
    <row r="503" spans="2:11" x14ac:dyDescent="0.25">
      <c r="B503">
        <v>5017</v>
      </c>
      <c r="H503">
        <f t="shared" si="30"/>
        <v>0</v>
      </c>
      <c r="I503" s="9" t="str" cm="1">
        <f t="array" ref="I503">_xlfn.LET(_xlpm.total,SUM(D503:G503),_xlpm.maxv,MAX(D503:G503),IF(_xlpm.total=0,"",IF(_xlpm.maxv/_xlpm.total&lt;0.5,"Mixed-Class",_xlfn.IFS(_xlpm.maxv=D503,"Assault",_xlpm.maxv=E503,"Engineer",_xlpm.maxv=F503,"Recon",_xlpm.maxv=G503,"Support"))))</f>
        <v/>
      </c>
      <c r="J503" t="str">
        <f t="shared" si="31"/>
        <v/>
      </c>
      <c r="K503" s="10" t="str">
        <f t="shared" si="32"/>
        <v/>
      </c>
    </row>
    <row r="504" spans="2:11" x14ac:dyDescent="0.25">
      <c r="B504">
        <v>5027</v>
      </c>
      <c r="H504">
        <f t="shared" si="30"/>
        <v>0</v>
      </c>
      <c r="I504" s="9" t="str" cm="1">
        <f t="array" ref="I504">_xlfn.LET(_xlpm.total,SUM(D504:G504),_xlpm.maxv,MAX(D504:G504),IF(_xlpm.total=0,"",IF(_xlpm.maxv/_xlpm.total&lt;0.5,"Mixed-Class",_xlfn.IFS(_xlpm.maxv=D504,"Assault",_xlpm.maxv=E504,"Engineer",_xlpm.maxv=F504,"Recon",_xlpm.maxv=G504,"Support"))))</f>
        <v/>
      </c>
      <c r="J504" t="str">
        <f t="shared" si="31"/>
        <v/>
      </c>
      <c r="K504" s="10" t="str">
        <f t="shared" si="32"/>
        <v/>
      </c>
    </row>
    <row r="505" spans="2:11" x14ac:dyDescent="0.25">
      <c r="B505">
        <v>5037</v>
      </c>
      <c r="H505">
        <f t="shared" si="30"/>
        <v>0</v>
      </c>
      <c r="I505" s="9" t="str" cm="1">
        <f t="array" ref="I505">_xlfn.LET(_xlpm.total,SUM(D505:G505),_xlpm.maxv,MAX(D505:G505),IF(_xlpm.total=0,"",IF(_xlpm.maxv/_xlpm.total&lt;0.5,"Mixed-Class",_xlfn.IFS(_xlpm.maxv=D505,"Assault",_xlpm.maxv=E505,"Engineer",_xlpm.maxv=F505,"Recon",_xlpm.maxv=G505,"Support"))))</f>
        <v/>
      </c>
      <c r="J505" t="str">
        <f t="shared" si="31"/>
        <v/>
      </c>
      <c r="K505" s="10" t="str">
        <f t="shared" si="32"/>
        <v/>
      </c>
    </row>
    <row r="506" spans="2:11" x14ac:dyDescent="0.25">
      <c r="B506">
        <v>5047</v>
      </c>
      <c r="H506">
        <f t="shared" si="30"/>
        <v>0</v>
      </c>
      <c r="I506" s="9" t="str" cm="1">
        <f t="array" ref="I506">_xlfn.LET(_xlpm.total,SUM(D506:G506),_xlpm.maxv,MAX(D506:G506),IF(_xlpm.total=0,"",IF(_xlpm.maxv/_xlpm.total&lt;0.5,"Mixed-Class",_xlfn.IFS(_xlpm.maxv=D506,"Assault",_xlpm.maxv=E506,"Engineer",_xlpm.maxv=F506,"Recon",_xlpm.maxv=G506,"Support"))))</f>
        <v/>
      </c>
      <c r="J506" t="str">
        <f t="shared" si="31"/>
        <v/>
      </c>
      <c r="K506" s="10" t="str">
        <f t="shared" si="32"/>
        <v/>
      </c>
    </row>
    <row r="507" spans="2:11" x14ac:dyDescent="0.25">
      <c r="B507">
        <v>5057</v>
      </c>
      <c r="H507">
        <f t="shared" si="30"/>
        <v>0</v>
      </c>
      <c r="I507" s="9" t="str" cm="1">
        <f t="array" ref="I507">_xlfn.LET(_xlpm.total,SUM(D507:G507),_xlpm.maxv,MAX(D507:G507),IF(_xlpm.total=0,"",IF(_xlpm.maxv/_xlpm.total&lt;0.5,"Mixed-Class",_xlfn.IFS(_xlpm.maxv=D507,"Assault",_xlpm.maxv=E507,"Engineer",_xlpm.maxv=F507,"Recon",_xlpm.maxv=G507,"Support"))))</f>
        <v/>
      </c>
      <c r="J507" t="str">
        <f t="shared" si="31"/>
        <v/>
      </c>
      <c r="K507" s="10" t="str">
        <f t="shared" si="32"/>
        <v/>
      </c>
    </row>
    <row r="508" spans="2:11" x14ac:dyDescent="0.25">
      <c r="B508">
        <v>5067</v>
      </c>
      <c r="H508">
        <f t="shared" si="30"/>
        <v>0</v>
      </c>
      <c r="I508" s="9" t="str" cm="1">
        <f t="array" ref="I508">_xlfn.LET(_xlpm.total,SUM(D508:G508),_xlpm.maxv,MAX(D508:G508),IF(_xlpm.total=0,"",IF(_xlpm.maxv/_xlpm.total&lt;0.5,"Mixed-Class",_xlfn.IFS(_xlpm.maxv=D508,"Assault",_xlpm.maxv=E508,"Engineer",_xlpm.maxv=F508,"Recon",_xlpm.maxv=G508,"Support"))))</f>
        <v/>
      </c>
      <c r="J508" t="str">
        <f t="shared" si="31"/>
        <v/>
      </c>
      <c r="K508" s="10" t="str">
        <f t="shared" si="32"/>
        <v/>
      </c>
    </row>
    <row r="509" spans="2:11" x14ac:dyDescent="0.25">
      <c r="B509">
        <v>5077</v>
      </c>
      <c r="H509">
        <f t="shared" si="30"/>
        <v>0</v>
      </c>
      <c r="I509" s="9" t="str" cm="1">
        <f t="array" ref="I509">_xlfn.LET(_xlpm.total,SUM(D509:G509),_xlpm.maxv,MAX(D509:G509),IF(_xlpm.total=0,"",IF(_xlpm.maxv/_xlpm.total&lt;0.5,"Mixed-Class",_xlfn.IFS(_xlpm.maxv=D509,"Assault",_xlpm.maxv=E509,"Engineer",_xlpm.maxv=F509,"Recon",_xlpm.maxv=G509,"Support"))))</f>
        <v/>
      </c>
      <c r="J509" t="str">
        <f t="shared" si="31"/>
        <v/>
      </c>
      <c r="K509" s="10" t="str">
        <f t="shared" si="32"/>
        <v/>
      </c>
    </row>
    <row r="510" spans="2:11" x14ac:dyDescent="0.25">
      <c r="B510">
        <v>5087</v>
      </c>
      <c r="H510">
        <f t="shared" si="30"/>
        <v>0</v>
      </c>
      <c r="I510" s="9" t="str" cm="1">
        <f t="array" ref="I510">_xlfn.LET(_xlpm.total,SUM(D510:G510),_xlpm.maxv,MAX(D510:G510),IF(_xlpm.total=0,"",IF(_xlpm.maxv/_xlpm.total&lt;0.5,"Mixed-Class",_xlfn.IFS(_xlpm.maxv=D510,"Assault",_xlpm.maxv=E510,"Engineer",_xlpm.maxv=F510,"Recon",_xlpm.maxv=G510,"Support"))))</f>
        <v/>
      </c>
      <c r="J510" t="str">
        <f t="shared" si="31"/>
        <v/>
      </c>
      <c r="K510" s="10" t="str">
        <f t="shared" si="32"/>
        <v/>
      </c>
    </row>
    <row r="511" spans="2:11" x14ac:dyDescent="0.25">
      <c r="B511">
        <v>5097</v>
      </c>
      <c r="H511">
        <f t="shared" si="30"/>
        <v>0</v>
      </c>
      <c r="I511" s="9" t="str" cm="1">
        <f t="array" ref="I511">_xlfn.LET(_xlpm.total,SUM(D511:G511),_xlpm.maxv,MAX(D511:G511),IF(_xlpm.total=0,"",IF(_xlpm.maxv/_xlpm.total&lt;0.5,"Mixed-Class",_xlfn.IFS(_xlpm.maxv=D511,"Assault",_xlpm.maxv=E511,"Engineer",_xlpm.maxv=F511,"Recon",_xlpm.maxv=G511,"Support"))))</f>
        <v/>
      </c>
      <c r="J511" t="str">
        <f t="shared" si="31"/>
        <v/>
      </c>
      <c r="K511" s="10" t="str">
        <f t="shared" si="32"/>
        <v/>
      </c>
    </row>
    <row r="512" spans="2:11" x14ac:dyDescent="0.25">
      <c r="B512">
        <v>5107</v>
      </c>
      <c r="H512">
        <f t="shared" si="30"/>
        <v>0</v>
      </c>
      <c r="I512" s="9" t="str" cm="1">
        <f t="array" ref="I512">_xlfn.LET(_xlpm.total,SUM(D512:G512),_xlpm.maxv,MAX(D512:G512),IF(_xlpm.total=0,"",IF(_xlpm.maxv/_xlpm.total&lt;0.5,"Mixed-Class",_xlfn.IFS(_xlpm.maxv=D512,"Assault",_xlpm.maxv=E512,"Engineer",_xlpm.maxv=F512,"Recon",_xlpm.maxv=G512,"Support"))))</f>
        <v/>
      </c>
      <c r="J512" t="str">
        <f t="shared" si="31"/>
        <v/>
      </c>
      <c r="K512" s="10" t="str">
        <f t="shared" si="32"/>
        <v/>
      </c>
    </row>
    <row r="513" spans="2:11" x14ac:dyDescent="0.25">
      <c r="B513">
        <v>5117</v>
      </c>
      <c r="H513">
        <f t="shared" si="30"/>
        <v>0</v>
      </c>
      <c r="I513" s="9" t="str" cm="1">
        <f t="array" ref="I513">_xlfn.LET(_xlpm.total,SUM(D513:G513),_xlpm.maxv,MAX(D513:G513),IF(_xlpm.total=0,"",IF(_xlpm.maxv/_xlpm.total&lt;0.5,"Mixed-Class",_xlfn.IFS(_xlpm.maxv=D513,"Assault",_xlpm.maxv=E513,"Engineer",_xlpm.maxv=F513,"Recon",_xlpm.maxv=G513,"Support"))))</f>
        <v/>
      </c>
      <c r="J513" t="str">
        <f t="shared" si="31"/>
        <v/>
      </c>
      <c r="K513" s="10" t="str">
        <f t="shared" si="32"/>
        <v/>
      </c>
    </row>
    <row r="514" spans="2:11" x14ac:dyDescent="0.25">
      <c r="B514">
        <v>5127</v>
      </c>
      <c r="H514">
        <f t="shared" si="30"/>
        <v>0</v>
      </c>
      <c r="I514" s="9" t="str" cm="1">
        <f t="array" ref="I514">_xlfn.LET(_xlpm.total,SUM(D514:G514),_xlpm.maxv,MAX(D514:G514),IF(_xlpm.total=0,"",IF(_xlpm.maxv/_xlpm.total&lt;0.5,"Mixed-Class",_xlfn.IFS(_xlpm.maxv=D514,"Assault",_xlpm.maxv=E514,"Engineer",_xlpm.maxv=F514,"Recon",_xlpm.maxv=G514,"Support"))))</f>
        <v/>
      </c>
      <c r="J514" t="str">
        <f t="shared" si="31"/>
        <v/>
      </c>
      <c r="K514" s="10" t="str">
        <f t="shared" si="32"/>
        <v/>
      </c>
    </row>
    <row r="515" spans="2:11" x14ac:dyDescent="0.25">
      <c r="B515">
        <v>5137</v>
      </c>
      <c r="H515">
        <f t="shared" ref="H515:H578" si="33">SUM(D515:G515)</f>
        <v>0</v>
      </c>
      <c r="I515" s="9" t="str" cm="1">
        <f t="array" ref="I515">_xlfn.LET(_xlpm.total,SUM(D515:G515),_xlpm.maxv,MAX(D515:G515),IF(_xlpm.total=0,"",IF(_xlpm.maxv/_xlpm.total&lt;0.5,"Mixed-Class",_xlfn.IFS(_xlpm.maxv=D515,"Assault",_xlpm.maxv=E515,"Engineer",_xlpm.maxv=F515,"Recon",_xlpm.maxv=G515,"Support"))))</f>
        <v/>
      </c>
      <c r="J515" t="str">
        <f t="shared" ref="J515:J578" si="34">_xlfn.LET(_xlpm.total,SUM(D515:G515),IF(_xlpm.total=0,"",MAX(D515:G515)/_xlpm.total&gt;=0.5))</f>
        <v/>
      </c>
      <c r="K515" s="10" t="str">
        <f t="shared" ref="K515:K578" si="35">_xlfn.LET(_xlpm.total,SUM(D515:G515),IF(_xlpm.total=0,"",MAX(D515:G515)/_xlpm.total))</f>
        <v/>
      </c>
    </row>
    <row r="516" spans="2:11" x14ac:dyDescent="0.25">
      <c r="B516">
        <v>5147</v>
      </c>
      <c r="H516">
        <f t="shared" si="33"/>
        <v>0</v>
      </c>
      <c r="I516" s="9" t="str" cm="1">
        <f t="array" ref="I516">_xlfn.LET(_xlpm.total,SUM(D516:G516),_xlpm.maxv,MAX(D516:G516),IF(_xlpm.total=0,"",IF(_xlpm.maxv/_xlpm.total&lt;0.5,"Mixed-Class",_xlfn.IFS(_xlpm.maxv=D516,"Assault",_xlpm.maxv=E516,"Engineer",_xlpm.maxv=F516,"Recon",_xlpm.maxv=G516,"Support"))))</f>
        <v/>
      </c>
      <c r="J516" t="str">
        <f t="shared" si="34"/>
        <v/>
      </c>
      <c r="K516" s="10" t="str">
        <f t="shared" si="35"/>
        <v/>
      </c>
    </row>
    <row r="517" spans="2:11" x14ac:dyDescent="0.25">
      <c r="B517">
        <v>5157</v>
      </c>
      <c r="H517">
        <f t="shared" si="33"/>
        <v>0</v>
      </c>
      <c r="I517" s="9" t="str" cm="1">
        <f t="array" ref="I517">_xlfn.LET(_xlpm.total,SUM(D517:G517),_xlpm.maxv,MAX(D517:G517),IF(_xlpm.total=0,"",IF(_xlpm.maxv/_xlpm.total&lt;0.5,"Mixed-Class",_xlfn.IFS(_xlpm.maxv=D517,"Assault",_xlpm.maxv=E517,"Engineer",_xlpm.maxv=F517,"Recon",_xlpm.maxv=G517,"Support"))))</f>
        <v/>
      </c>
      <c r="J517" t="str">
        <f t="shared" si="34"/>
        <v/>
      </c>
      <c r="K517" s="10" t="str">
        <f t="shared" si="35"/>
        <v/>
      </c>
    </row>
    <row r="518" spans="2:11" x14ac:dyDescent="0.25">
      <c r="B518">
        <v>5167</v>
      </c>
      <c r="H518">
        <f t="shared" si="33"/>
        <v>0</v>
      </c>
      <c r="I518" s="9" t="str" cm="1">
        <f t="array" ref="I518">_xlfn.LET(_xlpm.total,SUM(D518:G518),_xlpm.maxv,MAX(D518:G518),IF(_xlpm.total=0,"",IF(_xlpm.maxv/_xlpm.total&lt;0.5,"Mixed-Class",_xlfn.IFS(_xlpm.maxv=D518,"Assault",_xlpm.maxv=E518,"Engineer",_xlpm.maxv=F518,"Recon",_xlpm.maxv=G518,"Support"))))</f>
        <v/>
      </c>
      <c r="J518" t="str">
        <f t="shared" si="34"/>
        <v/>
      </c>
      <c r="K518" s="10" t="str">
        <f t="shared" si="35"/>
        <v/>
      </c>
    </row>
    <row r="519" spans="2:11" x14ac:dyDescent="0.25">
      <c r="B519">
        <v>5177</v>
      </c>
      <c r="H519">
        <f t="shared" si="33"/>
        <v>0</v>
      </c>
      <c r="I519" s="9" t="str" cm="1">
        <f t="array" ref="I519">_xlfn.LET(_xlpm.total,SUM(D519:G519),_xlpm.maxv,MAX(D519:G519),IF(_xlpm.total=0,"",IF(_xlpm.maxv/_xlpm.total&lt;0.5,"Mixed-Class",_xlfn.IFS(_xlpm.maxv=D519,"Assault",_xlpm.maxv=E519,"Engineer",_xlpm.maxv=F519,"Recon",_xlpm.maxv=G519,"Support"))))</f>
        <v/>
      </c>
      <c r="J519" t="str">
        <f t="shared" si="34"/>
        <v/>
      </c>
      <c r="K519" s="10" t="str">
        <f t="shared" si="35"/>
        <v/>
      </c>
    </row>
    <row r="520" spans="2:11" x14ac:dyDescent="0.25">
      <c r="B520">
        <v>5187</v>
      </c>
      <c r="H520">
        <f t="shared" si="33"/>
        <v>0</v>
      </c>
      <c r="I520" s="9" t="str" cm="1">
        <f t="array" ref="I520">_xlfn.LET(_xlpm.total,SUM(D520:G520),_xlpm.maxv,MAX(D520:G520),IF(_xlpm.total=0,"",IF(_xlpm.maxv/_xlpm.total&lt;0.5,"Mixed-Class",_xlfn.IFS(_xlpm.maxv=D520,"Assault",_xlpm.maxv=E520,"Engineer",_xlpm.maxv=F520,"Recon",_xlpm.maxv=G520,"Support"))))</f>
        <v/>
      </c>
      <c r="J520" t="str">
        <f t="shared" si="34"/>
        <v/>
      </c>
      <c r="K520" s="10" t="str">
        <f t="shared" si="35"/>
        <v/>
      </c>
    </row>
    <row r="521" spans="2:11" x14ac:dyDescent="0.25">
      <c r="B521">
        <v>5197</v>
      </c>
      <c r="H521">
        <f t="shared" si="33"/>
        <v>0</v>
      </c>
      <c r="I521" s="9" t="str" cm="1">
        <f t="array" ref="I521">_xlfn.LET(_xlpm.total,SUM(D521:G521),_xlpm.maxv,MAX(D521:G521),IF(_xlpm.total=0,"",IF(_xlpm.maxv/_xlpm.total&lt;0.5,"Mixed-Class",_xlfn.IFS(_xlpm.maxv=D521,"Assault",_xlpm.maxv=E521,"Engineer",_xlpm.maxv=F521,"Recon",_xlpm.maxv=G521,"Support"))))</f>
        <v/>
      </c>
      <c r="J521" t="str">
        <f t="shared" si="34"/>
        <v/>
      </c>
      <c r="K521" s="10" t="str">
        <f t="shared" si="35"/>
        <v/>
      </c>
    </row>
    <row r="522" spans="2:11" x14ac:dyDescent="0.25">
      <c r="B522">
        <v>5207</v>
      </c>
      <c r="H522">
        <f t="shared" si="33"/>
        <v>0</v>
      </c>
      <c r="I522" s="9" t="str" cm="1">
        <f t="array" ref="I522">_xlfn.LET(_xlpm.total,SUM(D522:G522),_xlpm.maxv,MAX(D522:G522),IF(_xlpm.total=0,"",IF(_xlpm.maxv/_xlpm.total&lt;0.5,"Mixed-Class",_xlfn.IFS(_xlpm.maxv=D522,"Assault",_xlpm.maxv=E522,"Engineer",_xlpm.maxv=F522,"Recon",_xlpm.maxv=G522,"Support"))))</f>
        <v/>
      </c>
      <c r="J522" t="str">
        <f t="shared" si="34"/>
        <v/>
      </c>
      <c r="K522" s="10" t="str">
        <f t="shared" si="35"/>
        <v/>
      </c>
    </row>
    <row r="523" spans="2:11" x14ac:dyDescent="0.25">
      <c r="B523">
        <v>5217</v>
      </c>
      <c r="H523">
        <f t="shared" si="33"/>
        <v>0</v>
      </c>
      <c r="I523" s="9" t="str" cm="1">
        <f t="array" ref="I523">_xlfn.LET(_xlpm.total,SUM(D523:G523),_xlpm.maxv,MAX(D523:G523),IF(_xlpm.total=0,"",IF(_xlpm.maxv/_xlpm.total&lt;0.5,"Mixed-Class",_xlfn.IFS(_xlpm.maxv=D523,"Assault",_xlpm.maxv=E523,"Engineer",_xlpm.maxv=F523,"Recon",_xlpm.maxv=G523,"Support"))))</f>
        <v/>
      </c>
      <c r="J523" t="str">
        <f t="shared" si="34"/>
        <v/>
      </c>
      <c r="K523" s="10" t="str">
        <f t="shared" si="35"/>
        <v/>
      </c>
    </row>
    <row r="524" spans="2:11" x14ac:dyDescent="0.25">
      <c r="B524">
        <v>5227</v>
      </c>
      <c r="H524">
        <f t="shared" si="33"/>
        <v>0</v>
      </c>
      <c r="I524" s="9" t="str" cm="1">
        <f t="array" ref="I524">_xlfn.LET(_xlpm.total,SUM(D524:G524),_xlpm.maxv,MAX(D524:G524),IF(_xlpm.total=0,"",IF(_xlpm.maxv/_xlpm.total&lt;0.5,"Mixed-Class",_xlfn.IFS(_xlpm.maxv=D524,"Assault",_xlpm.maxv=E524,"Engineer",_xlpm.maxv=F524,"Recon",_xlpm.maxv=G524,"Support"))))</f>
        <v/>
      </c>
      <c r="J524" t="str">
        <f t="shared" si="34"/>
        <v/>
      </c>
      <c r="K524" s="10" t="str">
        <f t="shared" si="35"/>
        <v/>
      </c>
    </row>
    <row r="525" spans="2:11" x14ac:dyDescent="0.25">
      <c r="B525">
        <v>5237</v>
      </c>
      <c r="H525">
        <f t="shared" si="33"/>
        <v>0</v>
      </c>
      <c r="I525" s="9" t="str" cm="1">
        <f t="array" ref="I525">_xlfn.LET(_xlpm.total,SUM(D525:G525),_xlpm.maxv,MAX(D525:G525),IF(_xlpm.total=0,"",IF(_xlpm.maxv/_xlpm.total&lt;0.5,"Mixed-Class",_xlfn.IFS(_xlpm.maxv=D525,"Assault",_xlpm.maxv=E525,"Engineer",_xlpm.maxv=F525,"Recon",_xlpm.maxv=G525,"Support"))))</f>
        <v/>
      </c>
      <c r="J525" t="str">
        <f t="shared" si="34"/>
        <v/>
      </c>
      <c r="K525" s="10" t="str">
        <f t="shared" si="35"/>
        <v/>
      </c>
    </row>
    <row r="526" spans="2:11" x14ac:dyDescent="0.25">
      <c r="B526">
        <v>5247</v>
      </c>
      <c r="H526">
        <f t="shared" si="33"/>
        <v>0</v>
      </c>
      <c r="I526" s="9" t="str" cm="1">
        <f t="array" ref="I526">_xlfn.LET(_xlpm.total,SUM(D526:G526),_xlpm.maxv,MAX(D526:G526),IF(_xlpm.total=0,"",IF(_xlpm.maxv/_xlpm.total&lt;0.5,"Mixed-Class",_xlfn.IFS(_xlpm.maxv=D526,"Assault",_xlpm.maxv=E526,"Engineer",_xlpm.maxv=F526,"Recon",_xlpm.maxv=G526,"Support"))))</f>
        <v/>
      </c>
      <c r="J526" t="str">
        <f t="shared" si="34"/>
        <v/>
      </c>
      <c r="K526" s="10" t="str">
        <f t="shared" si="35"/>
        <v/>
      </c>
    </row>
    <row r="527" spans="2:11" x14ac:dyDescent="0.25">
      <c r="B527">
        <v>5257</v>
      </c>
      <c r="H527">
        <f t="shared" si="33"/>
        <v>0</v>
      </c>
      <c r="I527" s="9" t="str" cm="1">
        <f t="array" ref="I527">_xlfn.LET(_xlpm.total,SUM(D527:G527),_xlpm.maxv,MAX(D527:G527),IF(_xlpm.total=0,"",IF(_xlpm.maxv/_xlpm.total&lt;0.5,"Mixed-Class",_xlfn.IFS(_xlpm.maxv=D527,"Assault",_xlpm.maxv=E527,"Engineer",_xlpm.maxv=F527,"Recon",_xlpm.maxv=G527,"Support"))))</f>
        <v/>
      </c>
      <c r="J527" t="str">
        <f t="shared" si="34"/>
        <v/>
      </c>
      <c r="K527" s="10" t="str">
        <f t="shared" si="35"/>
        <v/>
      </c>
    </row>
    <row r="528" spans="2:11" x14ac:dyDescent="0.25">
      <c r="B528">
        <v>5267</v>
      </c>
      <c r="H528">
        <f t="shared" si="33"/>
        <v>0</v>
      </c>
      <c r="I528" s="9" t="str" cm="1">
        <f t="array" ref="I528">_xlfn.LET(_xlpm.total,SUM(D528:G528),_xlpm.maxv,MAX(D528:G528),IF(_xlpm.total=0,"",IF(_xlpm.maxv/_xlpm.total&lt;0.5,"Mixed-Class",_xlfn.IFS(_xlpm.maxv=D528,"Assault",_xlpm.maxv=E528,"Engineer",_xlpm.maxv=F528,"Recon",_xlpm.maxv=G528,"Support"))))</f>
        <v/>
      </c>
      <c r="J528" t="str">
        <f t="shared" si="34"/>
        <v/>
      </c>
      <c r="K528" s="10" t="str">
        <f t="shared" si="35"/>
        <v/>
      </c>
    </row>
    <row r="529" spans="2:11" x14ac:dyDescent="0.25">
      <c r="B529">
        <v>5277</v>
      </c>
      <c r="H529">
        <f t="shared" si="33"/>
        <v>0</v>
      </c>
      <c r="I529" s="9" t="str" cm="1">
        <f t="array" ref="I529">_xlfn.LET(_xlpm.total,SUM(D529:G529),_xlpm.maxv,MAX(D529:G529),IF(_xlpm.total=0,"",IF(_xlpm.maxv/_xlpm.total&lt;0.5,"Mixed-Class",_xlfn.IFS(_xlpm.maxv=D529,"Assault",_xlpm.maxv=E529,"Engineer",_xlpm.maxv=F529,"Recon",_xlpm.maxv=G529,"Support"))))</f>
        <v/>
      </c>
      <c r="J529" t="str">
        <f t="shared" si="34"/>
        <v/>
      </c>
      <c r="K529" s="10" t="str">
        <f t="shared" si="35"/>
        <v/>
      </c>
    </row>
    <row r="530" spans="2:11" x14ac:dyDescent="0.25">
      <c r="B530">
        <v>5287</v>
      </c>
      <c r="H530">
        <f t="shared" si="33"/>
        <v>0</v>
      </c>
      <c r="I530" s="9" t="str" cm="1">
        <f t="array" ref="I530">_xlfn.LET(_xlpm.total,SUM(D530:G530),_xlpm.maxv,MAX(D530:G530),IF(_xlpm.total=0,"",IF(_xlpm.maxv/_xlpm.total&lt;0.5,"Mixed-Class",_xlfn.IFS(_xlpm.maxv=D530,"Assault",_xlpm.maxv=E530,"Engineer",_xlpm.maxv=F530,"Recon",_xlpm.maxv=G530,"Support"))))</f>
        <v/>
      </c>
      <c r="J530" t="str">
        <f t="shared" si="34"/>
        <v/>
      </c>
      <c r="K530" s="10" t="str">
        <f t="shared" si="35"/>
        <v/>
      </c>
    </row>
    <row r="531" spans="2:11" x14ac:dyDescent="0.25">
      <c r="B531">
        <v>5297</v>
      </c>
      <c r="H531">
        <f t="shared" si="33"/>
        <v>0</v>
      </c>
      <c r="I531" s="9" t="str" cm="1">
        <f t="array" ref="I531">_xlfn.LET(_xlpm.total,SUM(D531:G531),_xlpm.maxv,MAX(D531:G531),IF(_xlpm.total=0,"",IF(_xlpm.maxv/_xlpm.total&lt;0.5,"Mixed-Class",_xlfn.IFS(_xlpm.maxv=D531,"Assault",_xlpm.maxv=E531,"Engineer",_xlpm.maxv=F531,"Recon",_xlpm.maxv=G531,"Support"))))</f>
        <v/>
      </c>
      <c r="J531" t="str">
        <f t="shared" si="34"/>
        <v/>
      </c>
      <c r="K531" s="10" t="str">
        <f t="shared" si="35"/>
        <v/>
      </c>
    </row>
    <row r="532" spans="2:11" x14ac:dyDescent="0.25">
      <c r="B532">
        <v>5307</v>
      </c>
      <c r="H532">
        <f t="shared" si="33"/>
        <v>0</v>
      </c>
      <c r="I532" s="9" t="str" cm="1">
        <f t="array" ref="I532">_xlfn.LET(_xlpm.total,SUM(D532:G532),_xlpm.maxv,MAX(D532:G532),IF(_xlpm.total=0,"",IF(_xlpm.maxv/_xlpm.total&lt;0.5,"Mixed-Class",_xlfn.IFS(_xlpm.maxv=D532,"Assault",_xlpm.maxv=E532,"Engineer",_xlpm.maxv=F532,"Recon",_xlpm.maxv=G532,"Support"))))</f>
        <v/>
      </c>
      <c r="J532" t="str">
        <f t="shared" si="34"/>
        <v/>
      </c>
      <c r="K532" s="10" t="str">
        <f t="shared" si="35"/>
        <v/>
      </c>
    </row>
    <row r="533" spans="2:11" x14ac:dyDescent="0.25">
      <c r="B533">
        <v>5317</v>
      </c>
      <c r="H533">
        <f t="shared" si="33"/>
        <v>0</v>
      </c>
      <c r="I533" s="9" t="str" cm="1">
        <f t="array" ref="I533">_xlfn.LET(_xlpm.total,SUM(D533:G533),_xlpm.maxv,MAX(D533:G533),IF(_xlpm.total=0,"",IF(_xlpm.maxv/_xlpm.total&lt;0.5,"Mixed-Class",_xlfn.IFS(_xlpm.maxv=D533,"Assault",_xlpm.maxv=E533,"Engineer",_xlpm.maxv=F533,"Recon",_xlpm.maxv=G533,"Support"))))</f>
        <v/>
      </c>
      <c r="J533" t="str">
        <f t="shared" si="34"/>
        <v/>
      </c>
      <c r="K533" s="10" t="str">
        <f t="shared" si="35"/>
        <v/>
      </c>
    </row>
    <row r="534" spans="2:11" x14ac:dyDescent="0.25">
      <c r="B534">
        <v>5327</v>
      </c>
      <c r="H534">
        <f t="shared" si="33"/>
        <v>0</v>
      </c>
      <c r="I534" s="9" t="str" cm="1">
        <f t="array" ref="I534">_xlfn.LET(_xlpm.total,SUM(D534:G534),_xlpm.maxv,MAX(D534:G534),IF(_xlpm.total=0,"",IF(_xlpm.maxv/_xlpm.total&lt;0.5,"Mixed-Class",_xlfn.IFS(_xlpm.maxv=D534,"Assault",_xlpm.maxv=E534,"Engineer",_xlpm.maxv=F534,"Recon",_xlpm.maxv=G534,"Support"))))</f>
        <v/>
      </c>
      <c r="J534" t="str">
        <f t="shared" si="34"/>
        <v/>
      </c>
      <c r="K534" s="10" t="str">
        <f t="shared" si="35"/>
        <v/>
      </c>
    </row>
    <row r="535" spans="2:11" x14ac:dyDescent="0.25">
      <c r="B535">
        <v>5337</v>
      </c>
      <c r="H535">
        <f t="shared" si="33"/>
        <v>0</v>
      </c>
      <c r="I535" s="9" t="str" cm="1">
        <f t="array" ref="I535">_xlfn.LET(_xlpm.total,SUM(D535:G535),_xlpm.maxv,MAX(D535:G535),IF(_xlpm.total=0,"",IF(_xlpm.maxv/_xlpm.total&lt;0.5,"Mixed-Class",_xlfn.IFS(_xlpm.maxv=D535,"Assault",_xlpm.maxv=E535,"Engineer",_xlpm.maxv=F535,"Recon",_xlpm.maxv=G535,"Support"))))</f>
        <v/>
      </c>
      <c r="J535" t="str">
        <f t="shared" si="34"/>
        <v/>
      </c>
      <c r="K535" s="10" t="str">
        <f t="shared" si="35"/>
        <v/>
      </c>
    </row>
    <row r="536" spans="2:11" x14ac:dyDescent="0.25">
      <c r="B536">
        <v>5347</v>
      </c>
      <c r="H536">
        <f t="shared" si="33"/>
        <v>0</v>
      </c>
      <c r="I536" s="9" t="str" cm="1">
        <f t="array" ref="I536">_xlfn.LET(_xlpm.total,SUM(D536:G536),_xlpm.maxv,MAX(D536:G536),IF(_xlpm.total=0,"",IF(_xlpm.maxv/_xlpm.total&lt;0.5,"Mixed-Class",_xlfn.IFS(_xlpm.maxv=D536,"Assault",_xlpm.maxv=E536,"Engineer",_xlpm.maxv=F536,"Recon",_xlpm.maxv=G536,"Support"))))</f>
        <v/>
      </c>
      <c r="J536" t="str">
        <f t="shared" si="34"/>
        <v/>
      </c>
      <c r="K536" s="10" t="str">
        <f t="shared" si="35"/>
        <v/>
      </c>
    </row>
    <row r="537" spans="2:11" x14ac:dyDescent="0.25">
      <c r="B537">
        <v>5357</v>
      </c>
      <c r="H537">
        <f t="shared" si="33"/>
        <v>0</v>
      </c>
      <c r="I537" s="9" t="str" cm="1">
        <f t="array" ref="I537">_xlfn.LET(_xlpm.total,SUM(D537:G537),_xlpm.maxv,MAX(D537:G537),IF(_xlpm.total=0,"",IF(_xlpm.maxv/_xlpm.total&lt;0.5,"Mixed-Class",_xlfn.IFS(_xlpm.maxv=D537,"Assault",_xlpm.maxv=E537,"Engineer",_xlpm.maxv=F537,"Recon",_xlpm.maxv=G537,"Support"))))</f>
        <v/>
      </c>
      <c r="J537" t="str">
        <f t="shared" si="34"/>
        <v/>
      </c>
      <c r="K537" s="10" t="str">
        <f t="shared" si="35"/>
        <v/>
      </c>
    </row>
    <row r="538" spans="2:11" x14ac:dyDescent="0.25">
      <c r="B538">
        <v>5367</v>
      </c>
      <c r="H538">
        <f t="shared" si="33"/>
        <v>0</v>
      </c>
      <c r="I538" s="9" t="str" cm="1">
        <f t="array" ref="I538">_xlfn.LET(_xlpm.total,SUM(D538:G538),_xlpm.maxv,MAX(D538:G538),IF(_xlpm.total=0,"",IF(_xlpm.maxv/_xlpm.total&lt;0.5,"Mixed-Class",_xlfn.IFS(_xlpm.maxv=D538,"Assault",_xlpm.maxv=E538,"Engineer",_xlpm.maxv=F538,"Recon",_xlpm.maxv=G538,"Support"))))</f>
        <v/>
      </c>
      <c r="J538" t="str">
        <f t="shared" si="34"/>
        <v/>
      </c>
      <c r="K538" s="10" t="str">
        <f t="shared" si="35"/>
        <v/>
      </c>
    </row>
    <row r="539" spans="2:11" x14ac:dyDescent="0.25">
      <c r="B539">
        <v>5377</v>
      </c>
      <c r="H539">
        <f t="shared" si="33"/>
        <v>0</v>
      </c>
      <c r="I539" s="9" t="str" cm="1">
        <f t="array" ref="I539">_xlfn.LET(_xlpm.total,SUM(D539:G539),_xlpm.maxv,MAX(D539:G539),IF(_xlpm.total=0,"",IF(_xlpm.maxv/_xlpm.total&lt;0.5,"Mixed-Class",_xlfn.IFS(_xlpm.maxv=D539,"Assault",_xlpm.maxv=E539,"Engineer",_xlpm.maxv=F539,"Recon",_xlpm.maxv=G539,"Support"))))</f>
        <v/>
      </c>
      <c r="J539" t="str">
        <f t="shared" si="34"/>
        <v/>
      </c>
      <c r="K539" s="10" t="str">
        <f t="shared" si="35"/>
        <v/>
      </c>
    </row>
    <row r="540" spans="2:11" x14ac:dyDescent="0.25">
      <c r="B540">
        <v>5387</v>
      </c>
      <c r="H540">
        <f t="shared" si="33"/>
        <v>0</v>
      </c>
      <c r="I540" s="9" t="str" cm="1">
        <f t="array" ref="I540">_xlfn.LET(_xlpm.total,SUM(D540:G540),_xlpm.maxv,MAX(D540:G540),IF(_xlpm.total=0,"",IF(_xlpm.maxv/_xlpm.total&lt;0.5,"Mixed-Class",_xlfn.IFS(_xlpm.maxv=D540,"Assault",_xlpm.maxv=E540,"Engineer",_xlpm.maxv=F540,"Recon",_xlpm.maxv=G540,"Support"))))</f>
        <v/>
      </c>
      <c r="J540" t="str">
        <f t="shared" si="34"/>
        <v/>
      </c>
      <c r="K540" s="10" t="str">
        <f t="shared" si="35"/>
        <v/>
      </c>
    </row>
    <row r="541" spans="2:11" x14ac:dyDescent="0.25">
      <c r="B541">
        <v>5397</v>
      </c>
      <c r="H541">
        <f t="shared" si="33"/>
        <v>0</v>
      </c>
      <c r="I541" s="9" t="str" cm="1">
        <f t="array" ref="I541">_xlfn.LET(_xlpm.total,SUM(D541:G541),_xlpm.maxv,MAX(D541:G541),IF(_xlpm.total=0,"",IF(_xlpm.maxv/_xlpm.total&lt;0.5,"Mixed-Class",_xlfn.IFS(_xlpm.maxv=D541,"Assault",_xlpm.maxv=E541,"Engineer",_xlpm.maxv=F541,"Recon",_xlpm.maxv=G541,"Support"))))</f>
        <v/>
      </c>
      <c r="J541" t="str">
        <f t="shared" si="34"/>
        <v/>
      </c>
      <c r="K541" s="10" t="str">
        <f t="shared" si="35"/>
        <v/>
      </c>
    </row>
    <row r="542" spans="2:11" x14ac:dyDescent="0.25">
      <c r="B542">
        <v>5407</v>
      </c>
      <c r="H542">
        <f t="shared" si="33"/>
        <v>0</v>
      </c>
      <c r="I542" s="9" t="str" cm="1">
        <f t="array" ref="I542">_xlfn.LET(_xlpm.total,SUM(D542:G542),_xlpm.maxv,MAX(D542:G542),IF(_xlpm.total=0,"",IF(_xlpm.maxv/_xlpm.total&lt;0.5,"Mixed-Class",_xlfn.IFS(_xlpm.maxv=D542,"Assault",_xlpm.maxv=E542,"Engineer",_xlpm.maxv=F542,"Recon",_xlpm.maxv=G542,"Support"))))</f>
        <v/>
      </c>
      <c r="J542" t="str">
        <f t="shared" si="34"/>
        <v/>
      </c>
      <c r="K542" s="10" t="str">
        <f t="shared" si="35"/>
        <v/>
      </c>
    </row>
    <row r="543" spans="2:11" x14ac:dyDescent="0.25">
      <c r="B543">
        <v>5417</v>
      </c>
      <c r="H543">
        <f t="shared" si="33"/>
        <v>0</v>
      </c>
      <c r="I543" s="9" t="str" cm="1">
        <f t="array" ref="I543">_xlfn.LET(_xlpm.total,SUM(D543:G543),_xlpm.maxv,MAX(D543:G543),IF(_xlpm.total=0,"",IF(_xlpm.maxv/_xlpm.total&lt;0.5,"Mixed-Class",_xlfn.IFS(_xlpm.maxv=D543,"Assault",_xlpm.maxv=E543,"Engineer",_xlpm.maxv=F543,"Recon",_xlpm.maxv=G543,"Support"))))</f>
        <v/>
      </c>
      <c r="J543" t="str">
        <f t="shared" si="34"/>
        <v/>
      </c>
      <c r="K543" s="10" t="str">
        <f t="shared" si="35"/>
        <v/>
      </c>
    </row>
    <row r="544" spans="2:11" x14ac:dyDescent="0.25">
      <c r="B544">
        <v>5427</v>
      </c>
      <c r="H544">
        <f t="shared" si="33"/>
        <v>0</v>
      </c>
      <c r="I544" s="9" t="str" cm="1">
        <f t="array" ref="I544">_xlfn.LET(_xlpm.total,SUM(D544:G544),_xlpm.maxv,MAX(D544:G544),IF(_xlpm.total=0,"",IF(_xlpm.maxv/_xlpm.total&lt;0.5,"Mixed-Class",_xlfn.IFS(_xlpm.maxv=D544,"Assault",_xlpm.maxv=E544,"Engineer",_xlpm.maxv=F544,"Recon",_xlpm.maxv=G544,"Support"))))</f>
        <v/>
      </c>
      <c r="J544" t="str">
        <f t="shared" si="34"/>
        <v/>
      </c>
      <c r="K544" s="10" t="str">
        <f t="shared" si="35"/>
        <v/>
      </c>
    </row>
    <row r="545" spans="2:11" x14ac:dyDescent="0.25">
      <c r="B545">
        <v>5437</v>
      </c>
      <c r="H545">
        <f t="shared" si="33"/>
        <v>0</v>
      </c>
      <c r="I545" s="9" t="str" cm="1">
        <f t="array" ref="I545">_xlfn.LET(_xlpm.total,SUM(D545:G545),_xlpm.maxv,MAX(D545:G545),IF(_xlpm.total=0,"",IF(_xlpm.maxv/_xlpm.total&lt;0.5,"Mixed-Class",_xlfn.IFS(_xlpm.maxv=D545,"Assault",_xlpm.maxv=E545,"Engineer",_xlpm.maxv=F545,"Recon",_xlpm.maxv=G545,"Support"))))</f>
        <v/>
      </c>
      <c r="J545" t="str">
        <f t="shared" si="34"/>
        <v/>
      </c>
      <c r="K545" s="10" t="str">
        <f t="shared" si="35"/>
        <v/>
      </c>
    </row>
    <row r="546" spans="2:11" x14ac:dyDescent="0.25">
      <c r="B546">
        <v>5447</v>
      </c>
      <c r="H546">
        <f t="shared" si="33"/>
        <v>0</v>
      </c>
      <c r="I546" s="9" t="str" cm="1">
        <f t="array" ref="I546">_xlfn.LET(_xlpm.total,SUM(D546:G546),_xlpm.maxv,MAX(D546:G546),IF(_xlpm.total=0,"",IF(_xlpm.maxv/_xlpm.total&lt;0.5,"Mixed-Class",_xlfn.IFS(_xlpm.maxv=D546,"Assault",_xlpm.maxv=E546,"Engineer",_xlpm.maxv=F546,"Recon",_xlpm.maxv=G546,"Support"))))</f>
        <v/>
      </c>
      <c r="J546" t="str">
        <f t="shared" si="34"/>
        <v/>
      </c>
      <c r="K546" s="10" t="str">
        <f t="shared" si="35"/>
        <v/>
      </c>
    </row>
    <row r="547" spans="2:11" x14ac:dyDescent="0.25">
      <c r="B547">
        <v>5457</v>
      </c>
      <c r="H547">
        <f t="shared" si="33"/>
        <v>0</v>
      </c>
      <c r="I547" s="9" t="str" cm="1">
        <f t="array" ref="I547">_xlfn.LET(_xlpm.total,SUM(D547:G547),_xlpm.maxv,MAX(D547:G547),IF(_xlpm.total=0,"",IF(_xlpm.maxv/_xlpm.total&lt;0.5,"Mixed-Class",_xlfn.IFS(_xlpm.maxv=D547,"Assault",_xlpm.maxv=E547,"Engineer",_xlpm.maxv=F547,"Recon",_xlpm.maxv=G547,"Support"))))</f>
        <v/>
      </c>
      <c r="J547" t="str">
        <f t="shared" si="34"/>
        <v/>
      </c>
      <c r="K547" s="10" t="str">
        <f t="shared" si="35"/>
        <v/>
      </c>
    </row>
    <row r="548" spans="2:11" x14ac:dyDescent="0.25">
      <c r="B548">
        <v>5467</v>
      </c>
      <c r="H548">
        <f t="shared" si="33"/>
        <v>0</v>
      </c>
      <c r="I548" s="9" t="str" cm="1">
        <f t="array" ref="I548">_xlfn.LET(_xlpm.total,SUM(D548:G548),_xlpm.maxv,MAX(D548:G548),IF(_xlpm.total=0,"",IF(_xlpm.maxv/_xlpm.total&lt;0.5,"Mixed-Class",_xlfn.IFS(_xlpm.maxv=D548,"Assault",_xlpm.maxv=E548,"Engineer",_xlpm.maxv=F548,"Recon",_xlpm.maxv=G548,"Support"))))</f>
        <v/>
      </c>
      <c r="J548" t="str">
        <f t="shared" si="34"/>
        <v/>
      </c>
      <c r="K548" s="10" t="str">
        <f t="shared" si="35"/>
        <v/>
      </c>
    </row>
    <row r="549" spans="2:11" x14ac:dyDescent="0.25">
      <c r="B549">
        <v>5477</v>
      </c>
      <c r="H549">
        <f t="shared" si="33"/>
        <v>0</v>
      </c>
      <c r="I549" s="9" t="str" cm="1">
        <f t="array" ref="I549">_xlfn.LET(_xlpm.total,SUM(D549:G549),_xlpm.maxv,MAX(D549:G549),IF(_xlpm.total=0,"",IF(_xlpm.maxv/_xlpm.total&lt;0.5,"Mixed-Class",_xlfn.IFS(_xlpm.maxv=D549,"Assault",_xlpm.maxv=E549,"Engineer",_xlpm.maxv=F549,"Recon",_xlpm.maxv=G549,"Support"))))</f>
        <v/>
      </c>
      <c r="J549" t="str">
        <f t="shared" si="34"/>
        <v/>
      </c>
      <c r="K549" s="10" t="str">
        <f t="shared" si="35"/>
        <v/>
      </c>
    </row>
    <row r="550" spans="2:11" x14ac:dyDescent="0.25">
      <c r="B550">
        <v>5487</v>
      </c>
      <c r="H550">
        <f t="shared" si="33"/>
        <v>0</v>
      </c>
      <c r="I550" s="9" t="str" cm="1">
        <f t="array" ref="I550">_xlfn.LET(_xlpm.total,SUM(D550:G550),_xlpm.maxv,MAX(D550:G550),IF(_xlpm.total=0,"",IF(_xlpm.maxv/_xlpm.total&lt;0.5,"Mixed-Class",_xlfn.IFS(_xlpm.maxv=D550,"Assault",_xlpm.maxv=E550,"Engineer",_xlpm.maxv=F550,"Recon",_xlpm.maxv=G550,"Support"))))</f>
        <v/>
      </c>
      <c r="J550" t="str">
        <f t="shared" si="34"/>
        <v/>
      </c>
      <c r="K550" s="10" t="str">
        <f t="shared" si="35"/>
        <v/>
      </c>
    </row>
    <row r="551" spans="2:11" x14ac:dyDescent="0.25">
      <c r="B551">
        <v>5497</v>
      </c>
      <c r="H551">
        <f t="shared" si="33"/>
        <v>0</v>
      </c>
      <c r="I551" s="9" t="str" cm="1">
        <f t="array" ref="I551">_xlfn.LET(_xlpm.total,SUM(D551:G551),_xlpm.maxv,MAX(D551:G551),IF(_xlpm.total=0,"",IF(_xlpm.maxv/_xlpm.total&lt;0.5,"Mixed-Class",_xlfn.IFS(_xlpm.maxv=D551,"Assault",_xlpm.maxv=E551,"Engineer",_xlpm.maxv=F551,"Recon",_xlpm.maxv=G551,"Support"))))</f>
        <v/>
      </c>
      <c r="J551" t="str">
        <f t="shared" si="34"/>
        <v/>
      </c>
      <c r="K551" s="10" t="str">
        <f t="shared" si="35"/>
        <v/>
      </c>
    </row>
    <row r="552" spans="2:11" x14ac:dyDescent="0.25">
      <c r="B552">
        <v>5507</v>
      </c>
      <c r="H552">
        <f t="shared" si="33"/>
        <v>0</v>
      </c>
      <c r="I552" s="9" t="str" cm="1">
        <f t="array" ref="I552">_xlfn.LET(_xlpm.total,SUM(D552:G552),_xlpm.maxv,MAX(D552:G552),IF(_xlpm.total=0,"",IF(_xlpm.maxv/_xlpm.total&lt;0.5,"Mixed-Class",_xlfn.IFS(_xlpm.maxv=D552,"Assault",_xlpm.maxv=E552,"Engineer",_xlpm.maxv=F552,"Recon",_xlpm.maxv=G552,"Support"))))</f>
        <v/>
      </c>
      <c r="J552" t="str">
        <f t="shared" si="34"/>
        <v/>
      </c>
      <c r="K552" s="10" t="str">
        <f t="shared" si="35"/>
        <v/>
      </c>
    </row>
    <row r="553" spans="2:11" x14ac:dyDescent="0.25">
      <c r="B553">
        <v>5517</v>
      </c>
      <c r="H553">
        <f t="shared" si="33"/>
        <v>0</v>
      </c>
      <c r="I553" s="9" t="str" cm="1">
        <f t="array" ref="I553">_xlfn.LET(_xlpm.total,SUM(D553:G553),_xlpm.maxv,MAX(D553:G553),IF(_xlpm.total=0,"",IF(_xlpm.maxv/_xlpm.total&lt;0.5,"Mixed-Class",_xlfn.IFS(_xlpm.maxv=D553,"Assault",_xlpm.maxv=E553,"Engineer",_xlpm.maxv=F553,"Recon",_xlpm.maxv=G553,"Support"))))</f>
        <v/>
      </c>
      <c r="J553" t="str">
        <f t="shared" si="34"/>
        <v/>
      </c>
      <c r="K553" s="10" t="str">
        <f t="shared" si="35"/>
        <v/>
      </c>
    </row>
    <row r="554" spans="2:11" x14ac:dyDescent="0.25">
      <c r="B554">
        <v>5527</v>
      </c>
      <c r="H554">
        <f t="shared" si="33"/>
        <v>0</v>
      </c>
      <c r="I554" s="9" t="str" cm="1">
        <f t="array" ref="I554">_xlfn.LET(_xlpm.total,SUM(D554:G554),_xlpm.maxv,MAX(D554:G554),IF(_xlpm.total=0,"",IF(_xlpm.maxv/_xlpm.total&lt;0.5,"Mixed-Class",_xlfn.IFS(_xlpm.maxv=D554,"Assault",_xlpm.maxv=E554,"Engineer",_xlpm.maxv=F554,"Recon",_xlpm.maxv=G554,"Support"))))</f>
        <v/>
      </c>
      <c r="J554" t="str">
        <f t="shared" si="34"/>
        <v/>
      </c>
      <c r="K554" s="10" t="str">
        <f t="shared" si="35"/>
        <v/>
      </c>
    </row>
    <row r="555" spans="2:11" x14ac:dyDescent="0.25">
      <c r="B555">
        <v>5537</v>
      </c>
      <c r="H555">
        <f t="shared" si="33"/>
        <v>0</v>
      </c>
      <c r="I555" s="9" t="str" cm="1">
        <f t="array" ref="I555">_xlfn.LET(_xlpm.total,SUM(D555:G555),_xlpm.maxv,MAX(D555:G555),IF(_xlpm.total=0,"",IF(_xlpm.maxv/_xlpm.total&lt;0.5,"Mixed-Class",_xlfn.IFS(_xlpm.maxv=D555,"Assault",_xlpm.maxv=E555,"Engineer",_xlpm.maxv=F555,"Recon",_xlpm.maxv=G555,"Support"))))</f>
        <v/>
      </c>
      <c r="J555" t="str">
        <f t="shared" si="34"/>
        <v/>
      </c>
      <c r="K555" s="10" t="str">
        <f t="shared" si="35"/>
        <v/>
      </c>
    </row>
    <row r="556" spans="2:11" x14ac:dyDescent="0.25">
      <c r="B556">
        <v>5547</v>
      </c>
      <c r="H556">
        <f t="shared" si="33"/>
        <v>0</v>
      </c>
      <c r="I556" s="9" t="str" cm="1">
        <f t="array" ref="I556">_xlfn.LET(_xlpm.total,SUM(D556:G556),_xlpm.maxv,MAX(D556:G556),IF(_xlpm.total=0,"",IF(_xlpm.maxv/_xlpm.total&lt;0.5,"Mixed-Class",_xlfn.IFS(_xlpm.maxv=D556,"Assault",_xlpm.maxv=E556,"Engineer",_xlpm.maxv=F556,"Recon",_xlpm.maxv=G556,"Support"))))</f>
        <v/>
      </c>
      <c r="J556" t="str">
        <f t="shared" si="34"/>
        <v/>
      </c>
      <c r="K556" s="10" t="str">
        <f t="shared" si="35"/>
        <v/>
      </c>
    </row>
    <row r="557" spans="2:11" x14ac:dyDescent="0.25">
      <c r="B557">
        <v>5557</v>
      </c>
      <c r="H557">
        <f t="shared" si="33"/>
        <v>0</v>
      </c>
      <c r="I557" s="9" t="str" cm="1">
        <f t="array" ref="I557">_xlfn.LET(_xlpm.total,SUM(D557:G557),_xlpm.maxv,MAX(D557:G557),IF(_xlpm.total=0,"",IF(_xlpm.maxv/_xlpm.total&lt;0.5,"Mixed-Class",_xlfn.IFS(_xlpm.maxv=D557,"Assault",_xlpm.maxv=E557,"Engineer",_xlpm.maxv=F557,"Recon",_xlpm.maxv=G557,"Support"))))</f>
        <v/>
      </c>
      <c r="J557" t="str">
        <f t="shared" si="34"/>
        <v/>
      </c>
      <c r="K557" s="10" t="str">
        <f t="shared" si="35"/>
        <v/>
      </c>
    </row>
    <row r="558" spans="2:11" x14ac:dyDescent="0.25">
      <c r="B558">
        <v>5567</v>
      </c>
      <c r="H558">
        <f t="shared" si="33"/>
        <v>0</v>
      </c>
      <c r="I558" s="9" t="str" cm="1">
        <f t="array" ref="I558">_xlfn.LET(_xlpm.total,SUM(D558:G558),_xlpm.maxv,MAX(D558:G558),IF(_xlpm.total=0,"",IF(_xlpm.maxv/_xlpm.total&lt;0.5,"Mixed-Class",_xlfn.IFS(_xlpm.maxv=D558,"Assault",_xlpm.maxv=E558,"Engineer",_xlpm.maxv=F558,"Recon",_xlpm.maxv=G558,"Support"))))</f>
        <v/>
      </c>
      <c r="J558" t="str">
        <f t="shared" si="34"/>
        <v/>
      </c>
      <c r="K558" s="10" t="str">
        <f t="shared" si="35"/>
        <v/>
      </c>
    </row>
    <row r="559" spans="2:11" x14ac:dyDescent="0.25">
      <c r="B559">
        <v>5577</v>
      </c>
      <c r="H559">
        <f t="shared" si="33"/>
        <v>0</v>
      </c>
      <c r="I559" s="9" t="str" cm="1">
        <f t="array" ref="I559">_xlfn.LET(_xlpm.total,SUM(D559:G559),_xlpm.maxv,MAX(D559:G559),IF(_xlpm.total=0,"",IF(_xlpm.maxv/_xlpm.total&lt;0.5,"Mixed-Class",_xlfn.IFS(_xlpm.maxv=D559,"Assault",_xlpm.maxv=E559,"Engineer",_xlpm.maxv=F559,"Recon",_xlpm.maxv=G559,"Support"))))</f>
        <v/>
      </c>
      <c r="J559" t="str">
        <f t="shared" si="34"/>
        <v/>
      </c>
      <c r="K559" s="10" t="str">
        <f t="shared" si="35"/>
        <v/>
      </c>
    </row>
    <row r="560" spans="2:11" x14ac:dyDescent="0.25">
      <c r="B560">
        <v>5587</v>
      </c>
      <c r="H560">
        <f t="shared" si="33"/>
        <v>0</v>
      </c>
      <c r="I560" s="9" t="str" cm="1">
        <f t="array" ref="I560">_xlfn.LET(_xlpm.total,SUM(D560:G560),_xlpm.maxv,MAX(D560:G560),IF(_xlpm.total=0,"",IF(_xlpm.maxv/_xlpm.total&lt;0.5,"Mixed-Class",_xlfn.IFS(_xlpm.maxv=D560,"Assault",_xlpm.maxv=E560,"Engineer",_xlpm.maxv=F560,"Recon",_xlpm.maxv=G560,"Support"))))</f>
        <v/>
      </c>
      <c r="J560" t="str">
        <f t="shared" si="34"/>
        <v/>
      </c>
      <c r="K560" s="10" t="str">
        <f t="shared" si="35"/>
        <v/>
      </c>
    </row>
    <row r="561" spans="2:11" x14ac:dyDescent="0.25">
      <c r="B561">
        <v>5597</v>
      </c>
      <c r="H561">
        <f t="shared" si="33"/>
        <v>0</v>
      </c>
      <c r="I561" s="9" t="str" cm="1">
        <f t="array" ref="I561">_xlfn.LET(_xlpm.total,SUM(D561:G561),_xlpm.maxv,MAX(D561:G561),IF(_xlpm.total=0,"",IF(_xlpm.maxv/_xlpm.total&lt;0.5,"Mixed-Class",_xlfn.IFS(_xlpm.maxv=D561,"Assault",_xlpm.maxv=E561,"Engineer",_xlpm.maxv=F561,"Recon",_xlpm.maxv=G561,"Support"))))</f>
        <v/>
      </c>
      <c r="J561" t="str">
        <f t="shared" si="34"/>
        <v/>
      </c>
      <c r="K561" s="10" t="str">
        <f t="shared" si="35"/>
        <v/>
      </c>
    </row>
    <row r="562" spans="2:11" x14ac:dyDescent="0.25">
      <c r="B562">
        <v>5607</v>
      </c>
      <c r="H562">
        <f t="shared" si="33"/>
        <v>0</v>
      </c>
      <c r="I562" s="9" t="str" cm="1">
        <f t="array" ref="I562">_xlfn.LET(_xlpm.total,SUM(D562:G562),_xlpm.maxv,MAX(D562:G562),IF(_xlpm.total=0,"",IF(_xlpm.maxv/_xlpm.total&lt;0.5,"Mixed-Class",_xlfn.IFS(_xlpm.maxv=D562,"Assault",_xlpm.maxv=E562,"Engineer",_xlpm.maxv=F562,"Recon",_xlpm.maxv=G562,"Support"))))</f>
        <v/>
      </c>
      <c r="J562" t="str">
        <f t="shared" si="34"/>
        <v/>
      </c>
      <c r="K562" s="10" t="str">
        <f t="shared" si="35"/>
        <v/>
      </c>
    </row>
    <row r="563" spans="2:11" x14ac:dyDescent="0.25">
      <c r="B563">
        <v>5617</v>
      </c>
      <c r="H563">
        <f t="shared" si="33"/>
        <v>0</v>
      </c>
      <c r="I563" s="9" t="str" cm="1">
        <f t="array" ref="I563">_xlfn.LET(_xlpm.total,SUM(D563:G563),_xlpm.maxv,MAX(D563:G563),IF(_xlpm.total=0,"",IF(_xlpm.maxv/_xlpm.total&lt;0.5,"Mixed-Class",_xlfn.IFS(_xlpm.maxv=D563,"Assault",_xlpm.maxv=E563,"Engineer",_xlpm.maxv=F563,"Recon",_xlpm.maxv=G563,"Support"))))</f>
        <v/>
      </c>
      <c r="J563" t="str">
        <f t="shared" si="34"/>
        <v/>
      </c>
      <c r="K563" s="10" t="str">
        <f t="shared" si="35"/>
        <v/>
      </c>
    </row>
    <row r="564" spans="2:11" x14ac:dyDescent="0.25">
      <c r="B564">
        <v>5627</v>
      </c>
      <c r="H564">
        <f t="shared" si="33"/>
        <v>0</v>
      </c>
      <c r="I564" s="9" t="str" cm="1">
        <f t="array" ref="I564">_xlfn.LET(_xlpm.total,SUM(D564:G564),_xlpm.maxv,MAX(D564:G564),IF(_xlpm.total=0,"",IF(_xlpm.maxv/_xlpm.total&lt;0.5,"Mixed-Class",_xlfn.IFS(_xlpm.maxv=D564,"Assault",_xlpm.maxv=E564,"Engineer",_xlpm.maxv=F564,"Recon",_xlpm.maxv=G564,"Support"))))</f>
        <v/>
      </c>
      <c r="J564" t="str">
        <f t="shared" si="34"/>
        <v/>
      </c>
      <c r="K564" s="10" t="str">
        <f t="shared" si="35"/>
        <v/>
      </c>
    </row>
    <row r="565" spans="2:11" x14ac:dyDescent="0.25">
      <c r="B565">
        <v>5637</v>
      </c>
      <c r="H565">
        <f t="shared" si="33"/>
        <v>0</v>
      </c>
      <c r="I565" s="9" t="str" cm="1">
        <f t="array" ref="I565">_xlfn.LET(_xlpm.total,SUM(D565:G565),_xlpm.maxv,MAX(D565:G565),IF(_xlpm.total=0,"",IF(_xlpm.maxv/_xlpm.total&lt;0.5,"Mixed-Class",_xlfn.IFS(_xlpm.maxv=D565,"Assault",_xlpm.maxv=E565,"Engineer",_xlpm.maxv=F565,"Recon",_xlpm.maxv=G565,"Support"))))</f>
        <v/>
      </c>
      <c r="J565" t="str">
        <f t="shared" si="34"/>
        <v/>
      </c>
      <c r="K565" s="10" t="str">
        <f t="shared" si="35"/>
        <v/>
      </c>
    </row>
    <row r="566" spans="2:11" x14ac:dyDescent="0.25">
      <c r="B566">
        <v>5647</v>
      </c>
      <c r="H566">
        <f t="shared" si="33"/>
        <v>0</v>
      </c>
      <c r="I566" s="9" t="str" cm="1">
        <f t="array" ref="I566">_xlfn.LET(_xlpm.total,SUM(D566:G566),_xlpm.maxv,MAX(D566:G566),IF(_xlpm.total=0,"",IF(_xlpm.maxv/_xlpm.total&lt;0.5,"Mixed-Class",_xlfn.IFS(_xlpm.maxv=D566,"Assault",_xlpm.maxv=E566,"Engineer",_xlpm.maxv=F566,"Recon",_xlpm.maxv=G566,"Support"))))</f>
        <v/>
      </c>
      <c r="J566" t="str">
        <f t="shared" si="34"/>
        <v/>
      </c>
      <c r="K566" s="10" t="str">
        <f t="shared" si="35"/>
        <v/>
      </c>
    </row>
    <row r="567" spans="2:11" x14ac:dyDescent="0.25">
      <c r="B567">
        <v>5657</v>
      </c>
      <c r="H567">
        <f t="shared" si="33"/>
        <v>0</v>
      </c>
      <c r="I567" s="9" t="str" cm="1">
        <f t="array" ref="I567">_xlfn.LET(_xlpm.total,SUM(D567:G567),_xlpm.maxv,MAX(D567:G567),IF(_xlpm.total=0,"",IF(_xlpm.maxv/_xlpm.total&lt;0.5,"Mixed-Class",_xlfn.IFS(_xlpm.maxv=D567,"Assault",_xlpm.maxv=E567,"Engineer",_xlpm.maxv=F567,"Recon",_xlpm.maxv=G567,"Support"))))</f>
        <v/>
      </c>
      <c r="J567" t="str">
        <f t="shared" si="34"/>
        <v/>
      </c>
      <c r="K567" s="10" t="str">
        <f t="shared" si="35"/>
        <v/>
      </c>
    </row>
    <row r="568" spans="2:11" x14ac:dyDescent="0.25">
      <c r="B568">
        <v>5667</v>
      </c>
      <c r="H568">
        <f t="shared" si="33"/>
        <v>0</v>
      </c>
      <c r="I568" s="9" t="str" cm="1">
        <f t="array" ref="I568">_xlfn.LET(_xlpm.total,SUM(D568:G568),_xlpm.maxv,MAX(D568:G568),IF(_xlpm.total=0,"",IF(_xlpm.maxv/_xlpm.total&lt;0.5,"Mixed-Class",_xlfn.IFS(_xlpm.maxv=D568,"Assault",_xlpm.maxv=E568,"Engineer",_xlpm.maxv=F568,"Recon",_xlpm.maxv=G568,"Support"))))</f>
        <v/>
      </c>
      <c r="J568" t="str">
        <f t="shared" si="34"/>
        <v/>
      </c>
      <c r="K568" s="10" t="str">
        <f t="shared" si="35"/>
        <v/>
      </c>
    </row>
    <row r="569" spans="2:11" x14ac:dyDescent="0.25">
      <c r="B569">
        <v>5677</v>
      </c>
      <c r="H569">
        <f t="shared" si="33"/>
        <v>0</v>
      </c>
      <c r="I569" s="9" t="str" cm="1">
        <f t="array" ref="I569">_xlfn.LET(_xlpm.total,SUM(D569:G569),_xlpm.maxv,MAX(D569:G569),IF(_xlpm.total=0,"",IF(_xlpm.maxv/_xlpm.total&lt;0.5,"Mixed-Class",_xlfn.IFS(_xlpm.maxv=D569,"Assault",_xlpm.maxv=E569,"Engineer",_xlpm.maxv=F569,"Recon",_xlpm.maxv=G569,"Support"))))</f>
        <v/>
      </c>
      <c r="J569" t="str">
        <f t="shared" si="34"/>
        <v/>
      </c>
      <c r="K569" s="10" t="str">
        <f t="shared" si="35"/>
        <v/>
      </c>
    </row>
    <row r="570" spans="2:11" x14ac:dyDescent="0.25">
      <c r="B570">
        <v>5687</v>
      </c>
      <c r="H570">
        <f t="shared" si="33"/>
        <v>0</v>
      </c>
      <c r="I570" s="9" t="str" cm="1">
        <f t="array" ref="I570">_xlfn.LET(_xlpm.total,SUM(D570:G570),_xlpm.maxv,MAX(D570:G570),IF(_xlpm.total=0,"",IF(_xlpm.maxv/_xlpm.total&lt;0.5,"Mixed-Class",_xlfn.IFS(_xlpm.maxv=D570,"Assault",_xlpm.maxv=E570,"Engineer",_xlpm.maxv=F570,"Recon",_xlpm.maxv=G570,"Support"))))</f>
        <v/>
      </c>
      <c r="J570" t="str">
        <f t="shared" si="34"/>
        <v/>
      </c>
      <c r="K570" s="10" t="str">
        <f t="shared" si="35"/>
        <v/>
      </c>
    </row>
    <row r="571" spans="2:11" x14ac:dyDescent="0.25">
      <c r="B571">
        <v>5697</v>
      </c>
      <c r="H571">
        <f t="shared" si="33"/>
        <v>0</v>
      </c>
      <c r="I571" s="9" t="str" cm="1">
        <f t="array" ref="I571">_xlfn.LET(_xlpm.total,SUM(D571:G571),_xlpm.maxv,MAX(D571:G571),IF(_xlpm.total=0,"",IF(_xlpm.maxv/_xlpm.total&lt;0.5,"Mixed-Class",_xlfn.IFS(_xlpm.maxv=D571,"Assault",_xlpm.maxv=E571,"Engineer",_xlpm.maxv=F571,"Recon",_xlpm.maxv=G571,"Support"))))</f>
        <v/>
      </c>
      <c r="J571" t="str">
        <f t="shared" si="34"/>
        <v/>
      </c>
      <c r="K571" s="10" t="str">
        <f t="shared" si="35"/>
        <v/>
      </c>
    </row>
    <row r="572" spans="2:11" x14ac:dyDescent="0.25">
      <c r="B572">
        <v>5707</v>
      </c>
      <c r="H572">
        <f t="shared" si="33"/>
        <v>0</v>
      </c>
      <c r="I572" s="9" t="str" cm="1">
        <f t="array" ref="I572">_xlfn.LET(_xlpm.total,SUM(D572:G572),_xlpm.maxv,MAX(D572:G572),IF(_xlpm.total=0,"",IF(_xlpm.maxv/_xlpm.total&lt;0.5,"Mixed-Class",_xlfn.IFS(_xlpm.maxv=D572,"Assault",_xlpm.maxv=E572,"Engineer",_xlpm.maxv=F572,"Recon",_xlpm.maxv=G572,"Support"))))</f>
        <v/>
      </c>
      <c r="J572" t="str">
        <f t="shared" si="34"/>
        <v/>
      </c>
      <c r="K572" s="10" t="str">
        <f t="shared" si="35"/>
        <v/>
      </c>
    </row>
    <row r="573" spans="2:11" x14ac:dyDescent="0.25">
      <c r="B573">
        <v>5717</v>
      </c>
      <c r="H573">
        <f t="shared" si="33"/>
        <v>0</v>
      </c>
      <c r="I573" s="9" t="str" cm="1">
        <f t="array" ref="I573">_xlfn.LET(_xlpm.total,SUM(D573:G573),_xlpm.maxv,MAX(D573:G573),IF(_xlpm.total=0,"",IF(_xlpm.maxv/_xlpm.total&lt;0.5,"Mixed-Class",_xlfn.IFS(_xlpm.maxv=D573,"Assault",_xlpm.maxv=E573,"Engineer",_xlpm.maxv=F573,"Recon",_xlpm.maxv=G573,"Support"))))</f>
        <v/>
      </c>
      <c r="J573" t="str">
        <f t="shared" si="34"/>
        <v/>
      </c>
      <c r="K573" s="10" t="str">
        <f t="shared" si="35"/>
        <v/>
      </c>
    </row>
    <row r="574" spans="2:11" x14ac:dyDescent="0.25">
      <c r="B574">
        <v>5727</v>
      </c>
      <c r="H574">
        <f t="shared" si="33"/>
        <v>0</v>
      </c>
      <c r="I574" s="9" t="str" cm="1">
        <f t="array" ref="I574">_xlfn.LET(_xlpm.total,SUM(D574:G574),_xlpm.maxv,MAX(D574:G574),IF(_xlpm.total=0,"",IF(_xlpm.maxv/_xlpm.total&lt;0.5,"Mixed-Class",_xlfn.IFS(_xlpm.maxv=D574,"Assault",_xlpm.maxv=E574,"Engineer",_xlpm.maxv=F574,"Recon",_xlpm.maxv=G574,"Support"))))</f>
        <v/>
      </c>
      <c r="J574" t="str">
        <f t="shared" si="34"/>
        <v/>
      </c>
      <c r="K574" s="10" t="str">
        <f t="shared" si="35"/>
        <v/>
      </c>
    </row>
    <row r="575" spans="2:11" x14ac:dyDescent="0.25">
      <c r="B575">
        <v>5737</v>
      </c>
      <c r="H575">
        <f t="shared" si="33"/>
        <v>0</v>
      </c>
      <c r="I575" s="9" t="str" cm="1">
        <f t="array" ref="I575">_xlfn.LET(_xlpm.total,SUM(D575:G575),_xlpm.maxv,MAX(D575:G575),IF(_xlpm.total=0,"",IF(_xlpm.maxv/_xlpm.total&lt;0.5,"Mixed-Class",_xlfn.IFS(_xlpm.maxv=D575,"Assault",_xlpm.maxv=E575,"Engineer",_xlpm.maxv=F575,"Recon",_xlpm.maxv=G575,"Support"))))</f>
        <v/>
      </c>
      <c r="J575" t="str">
        <f t="shared" si="34"/>
        <v/>
      </c>
      <c r="K575" s="10" t="str">
        <f t="shared" si="35"/>
        <v/>
      </c>
    </row>
    <row r="576" spans="2:11" x14ac:dyDescent="0.25">
      <c r="B576">
        <v>5747</v>
      </c>
      <c r="H576">
        <f t="shared" si="33"/>
        <v>0</v>
      </c>
      <c r="I576" s="9" t="str" cm="1">
        <f t="array" ref="I576">_xlfn.LET(_xlpm.total,SUM(D576:G576),_xlpm.maxv,MAX(D576:G576),IF(_xlpm.total=0,"",IF(_xlpm.maxv/_xlpm.total&lt;0.5,"Mixed-Class",_xlfn.IFS(_xlpm.maxv=D576,"Assault",_xlpm.maxv=E576,"Engineer",_xlpm.maxv=F576,"Recon",_xlpm.maxv=G576,"Support"))))</f>
        <v/>
      </c>
      <c r="J576" t="str">
        <f t="shared" si="34"/>
        <v/>
      </c>
      <c r="K576" s="10" t="str">
        <f t="shared" si="35"/>
        <v/>
      </c>
    </row>
    <row r="577" spans="2:11" x14ac:dyDescent="0.25">
      <c r="B577">
        <v>5757</v>
      </c>
      <c r="H577">
        <f t="shared" si="33"/>
        <v>0</v>
      </c>
      <c r="I577" s="9" t="str" cm="1">
        <f t="array" ref="I577">_xlfn.LET(_xlpm.total,SUM(D577:G577),_xlpm.maxv,MAX(D577:G577),IF(_xlpm.total=0,"",IF(_xlpm.maxv/_xlpm.total&lt;0.5,"Mixed-Class",_xlfn.IFS(_xlpm.maxv=D577,"Assault",_xlpm.maxv=E577,"Engineer",_xlpm.maxv=F577,"Recon",_xlpm.maxv=G577,"Support"))))</f>
        <v/>
      </c>
      <c r="J577" t="str">
        <f t="shared" si="34"/>
        <v/>
      </c>
      <c r="K577" s="10" t="str">
        <f t="shared" si="35"/>
        <v/>
      </c>
    </row>
    <row r="578" spans="2:11" x14ac:dyDescent="0.25">
      <c r="B578">
        <v>5767</v>
      </c>
      <c r="H578">
        <f t="shared" si="33"/>
        <v>0</v>
      </c>
      <c r="I578" s="9" t="str" cm="1">
        <f t="array" ref="I578">_xlfn.LET(_xlpm.total,SUM(D578:G578),_xlpm.maxv,MAX(D578:G578),IF(_xlpm.total=0,"",IF(_xlpm.maxv/_xlpm.total&lt;0.5,"Mixed-Class",_xlfn.IFS(_xlpm.maxv=D578,"Assault",_xlpm.maxv=E578,"Engineer",_xlpm.maxv=F578,"Recon",_xlpm.maxv=G578,"Support"))))</f>
        <v/>
      </c>
      <c r="J578" t="str">
        <f t="shared" si="34"/>
        <v/>
      </c>
      <c r="K578" s="10" t="str">
        <f t="shared" si="35"/>
        <v/>
      </c>
    </row>
    <row r="579" spans="2:11" x14ac:dyDescent="0.25">
      <c r="B579">
        <v>5777</v>
      </c>
      <c r="H579">
        <f t="shared" ref="H579:H642" si="36">SUM(D579:G579)</f>
        <v>0</v>
      </c>
      <c r="I579" s="9" t="str" cm="1">
        <f t="array" ref="I579">_xlfn.LET(_xlpm.total,SUM(D579:G579),_xlpm.maxv,MAX(D579:G579),IF(_xlpm.total=0,"",IF(_xlpm.maxv/_xlpm.total&lt;0.5,"Mixed-Class",_xlfn.IFS(_xlpm.maxv=D579,"Assault",_xlpm.maxv=E579,"Engineer",_xlpm.maxv=F579,"Recon",_xlpm.maxv=G579,"Support"))))</f>
        <v/>
      </c>
      <c r="J579" t="str">
        <f t="shared" ref="J579:J642" si="37">_xlfn.LET(_xlpm.total,SUM(D579:G579),IF(_xlpm.total=0,"",MAX(D579:G579)/_xlpm.total&gt;=0.5))</f>
        <v/>
      </c>
      <c r="K579" s="10" t="str">
        <f t="shared" ref="K579:K642" si="38">_xlfn.LET(_xlpm.total,SUM(D579:G579),IF(_xlpm.total=0,"",MAX(D579:G579)/_xlpm.total))</f>
        <v/>
      </c>
    </row>
    <row r="580" spans="2:11" x14ac:dyDescent="0.25">
      <c r="B580">
        <v>5787</v>
      </c>
      <c r="H580">
        <f t="shared" si="36"/>
        <v>0</v>
      </c>
      <c r="I580" s="9" t="str" cm="1">
        <f t="array" ref="I580">_xlfn.LET(_xlpm.total,SUM(D580:G580),_xlpm.maxv,MAX(D580:G580),IF(_xlpm.total=0,"",IF(_xlpm.maxv/_xlpm.total&lt;0.5,"Mixed-Class",_xlfn.IFS(_xlpm.maxv=D580,"Assault",_xlpm.maxv=E580,"Engineer",_xlpm.maxv=F580,"Recon",_xlpm.maxv=G580,"Support"))))</f>
        <v/>
      </c>
      <c r="J580" t="str">
        <f t="shared" si="37"/>
        <v/>
      </c>
      <c r="K580" s="10" t="str">
        <f t="shared" si="38"/>
        <v/>
      </c>
    </row>
    <row r="581" spans="2:11" x14ac:dyDescent="0.25">
      <c r="B581">
        <v>5797</v>
      </c>
      <c r="H581">
        <f t="shared" si="36"/>
        <v>0</v>
      </c>
      <c r="I581" s="9" t="str" cm="1">
        <f t="array" ref="I581">_xlfn.LET(_xlpm.total,SUM(D581:G581),_xlpm.maxv,MAX(D581:G581),IF(_xlpm.total=0,"",IF(_xlpm.maxv/_xlpm.total&lt;0.5,"Mixed-Class",_xlfn.IFS(_xlpm.maxv=D581,"Assault",_xlpm.maxv=E581,"Engineer",_xlpm.maxv=F581,"Recon",_xlpm.maxv=G581,"Support"))))</f>
        <v/>
      </c>
      <c r="J581" t="str">
        <f t="shared" si="37"/>
        <v/>
      </c>
      <c r="K581" s="10" t="str">
        <f t="shared" si="38"/>
        <v/>
      </c>
    </row>
    <row r="582" spans="2:11" x14ac:dyDescent="0.25">
      <c r="B582">
        <v>5807</v>
      </c>
      <c r="H582">
        <f t="shared" si="36"/>
        <v>0</v>
      </c>
      <c r="I582" s="9" t="str" cm="1">
        <f t="array" ref="I582">_xlfn.LET(_xlpm.total,SUM(D582:G582),_xlpm.maxv,MAX(D582:G582),IF(_xlpm.total=0,"",IF(_xlpm.maxv/_xlpm.total&lt;0.5,"Mixed-Class",_xlfn.IFS(_xlpm.maxv=D582,"Assault",_xlpm.maxv=E582,"Engineer",_xlpm.maxv=F582,"Recon",_xlpm.maxv=G582,"Support"))))</f>
        <v/>
      </c>
      <c r="J582" t="str">
        <f t="shared" si="37"/>
        <v/>
      </c>
      <c r="K582" s="10" t="str">
        <f t="shared" si="38"/>
        <v/>
      </c>
    </row>
    <row r="583" spans="2:11" x14ac:dyDescent="0.25">
      <c r="B583">
        <v>5817</v>
      </c>
      <c r="H583">
        <f t="shared" si="36"/>
        <v>0</v>
      </c>
      <c r="I583" s="9" t="str" cm="1">
        <f t="array" ref="I583">_xlfn.LET(_xlpm.total,SUM(D583:G583),_xlpm.maxv,MAX(D583:G583),IF(_xlpm.total=0,"",IF(_xlpm.maxv/_xlpm.total&lt;0.5,"Mixed-Class",_xlfn.IFS(_xlpm.maxv=D583,"Assault",_xlpm.maxv=E583,"Engineer",_xlpm.maxv=F583,"Recon",_xlpm.maxv=G583,"Support"))))</f>
        <v/>
      </c>
      <c r="J583" t="str">
        <f t="shared" si="37"/>
        <v/>
      </c>
      <c r="K583" s="10" t="str">
        <f t="shared" si="38"/>
        <v/>
      </c>
    </row>
    <row r="584" spans="2:11" x14ac:dyDescent="0.25">
      <c r="B584">
        <v>5827</v>
      </c>
      <c r="H584">
        <f t="shared" si="36"/>
        <v>0</v>
      </c>
      <c r="I584" s="9" t="str" cm="1">
        <f t="array" ref="I584">_xlfn.LET(_xlpm.total,SUM(D584:G584),_xlpm.maxv,MAX(D584:G584),IF(_xlpm.total=0,"",IF(_xlpm.maxv/_xlpm.total&lt;0.5,"Mixed-Class",_xlfn.IFS(_xlpm.maxv=D584,"Assault",_xlpm.maxv=E584,"Engineer",_xlpm.maxv=F584,"Recon",_xlpm.maxv=G584,"Support"))))</f>
        <v/>
      </c>
      <c r="J584" t="str">
        <f t="shared" si="37"/>
        <v/>
      </c>
      <c r="K584" s="10" t="str">
        <f t="shared" si="38"/>
        <v/>
      </c>
    </row>
    <row r="585" spans="2:11" x14ac:dyDescent="0.25">
      <c r="B585">
        <v>5837</v>
      </c>
      <c r="H585">
        <f t="shared" si="36"/>
        <v>0</v>
      </c>
      <c r="I585" s="9" t="str" cm="1">
        <f t="array" ref="I585">_xlfn.LET(_xlpm.total,SUM(D585:G585),_xlpm.maxv,MAX(D585:G585),IF(_xlpm.total=0,"",IF(_xlpm.maxv/_xlpm.total&lt;0.5,"Mixed-Class",_xlfn.IFS(_xlpm.maxv=D585,"Assault",_xlpm.maxv=E585,"Engineer",_xlpm.maxv=F585,"Recon",_xlpm.maxv=G585,"Support"))))</f>
        <v/>
      </c>
      <c r="J585" t="str">
        <f t="shared" si="37"/>
        <v/>
      </c>
      <c r="K585" s="10" t="str">
        <f t="shared" si="38"/>
        <v/>
      </c>
    </row>
    <row r="586" spans="2:11" x14ac:dyDescent="0.25">
      <c r="B586">
        <v>5847</v>
      </c>
      <c r="H586">
        <f t="shared" si="36"/>
        <v>0</v>
      </c>
      <c r="I586" s="9" t="str" cm="1">
        <f t="array" ref="I586">_xlfn.LET(_xlpm.total,SUM(D586:G586),_xlpm.maxv,MAX(D586:G586),IF(_xlpm.total=0,"",IF(_xlpm.maxv/_xlpm.total&lt;0.5,"Mixed-Class",_xlfn.IFS(_xlpm.maxv=D586,"Assault",_xlpm.maxv=E586,"Engineer",_xlpm.maxv=F586,"Recon",_xlpm.maxv=G586,"Support"))))</f>
        <v/>
      </c>
      <c r="J586" t="str">
        <f t="shared" si="37"/>
        <v/>
      </c>
      <c r="K586" s="10" t="str">
        <f t="shared" si="38"/>
        <v/>
      </c>
    </row>
    <row r="587" spans="2:11" x14ac:dyDescent="0.25">
      <c r="B587">
        <v>5857</v>
      </c>
      <c r="H587">
        <f t="shared" si="36"/>
        <v>0</v>
      </c>
      <c r="I587" s="9" t="str" cm="1">
        <f t="array" ref="I587">_xlfn.LET(_xlpm.total,SUM(D587:G587),_xlpm.maxv,MAX(D587:G587),IF(_xlpm.total=0,"",IF(_xlpm.maxv/_xlpm.total&lt;0.5,"Mixed-Class",_xlfn.IFS(_xlpm.maxv=D587,"Assault",_xlpm.maxv=E587,"Engineer",_xlpm.maxv=F587,"Recon",_xlpm.maxv=G587,"Support"))))</f>
        <v/>
      </c>
      <c r="J587" t="str">
        <f t="shared" si="37"/>
        <v/>
      </c>
      <c r="K587" s="10" t="str">
        <f t="shared" si="38"/>
        <v/>
      </c>
    </row>
    <row r="588" spans="2:11" x14ac:dyDescent="0.25">
      <c r="B588">
        <v>5867</v>
      </c>
      <c r="H588">
        <f t="shared" si="36"/>
        <v>0</v>
      </c>
      <c r="I588" s="9" t="str" cm="1">
        <f t="array" ref="I588">_xlfn.LET(_xlpm.total,SUM(D588:G588),_xlpm.maxv,MAX(D588:G588),IF(_xlpm.total=0,"",IF(_xlpm.maxv/_xlpm.total&lt;0.5,"Mixed-Class",_xlfn.IFS(_xlpm.maxv=D588,"Assault",_xlpm.maxv=E588,"Engineer",_xlpm.maxv=F588,"Recon",_xlpm.maxv=G588,"Support"))))</f>
        <v/>
      </c>
      <c r="J588" t="str">
        <f t="shared" si="37"/>
        <v/>
      </c>
      <c r="K588" s="10" t="str">
        <f t="shared" si="38"/>
        <v/>
      </c>
    </row>
    <row r="589" spans="2:11" x14ac:dyDescent="0.25">
      <c r="B589">
        <v>5877</v>
      </c>
      <c r="H589">
        <f t="shared" si="36"/>
        <v>0</v>
      </c>
      <c r="I589" s="9" t="str" cm="1">
        <f t="array" ref="I589">_xlfn.LET(_xlpm.total,SUM(D589:G589),_xlpm.maxv,MAX(D589:G589),IF(_xlpm.total=0,"",IF(_xlpm.maxv/_xlpm.total&lt;0.5,"Mixed-Class",_xlfn.IFS(_xlpm.maxv=D589,"Assault",_xlpm.maxv=E589,"Engineer",_xlpm.maxv=F589,"Recon",_xlpm.maxv=G589,"Support"))))</f>
        <v/>
      </c>
      <c r="J589" t="str">
        <f t="shared" si="37"/>
        <v/>
      </c>
      <c r="K589" s="10" t="str">
        <f t="shared" si="38"/>
        <v/>
      </c>
    </row>
    <row r="590" spans="2:11" x14ac:dyDescent="0.25">
      <c r="B590">
        <v>5887</v>
      </c>
      <c r="H590">
        <f t="shared" si="36"/>
        <v>0</v>
      </c>
      <c r="I590" s="9" t="str" cm="1">
        <f t="array" ref="I590">_xlfn.LET(_xlpm.total,SUM(D590:G590),_xlpm.maxv,MAX(D590:G590),IF(_xlpm.total=0,"",IF(_xlpm.maxv/_xlpm.total&lt;0.5,"Mixed-Class",_xlfn.IFS(_xlpm.maxv=D590,"Assault",_xlpm.maxv=E590,"Engineer",_xlpm.maxv=F590,"Recon",_xlpm.maxv=G590,"Support"))))</f>
        <v/>
      </c>
      <c r="J590" t="str">
        <f t="shared" si="37"/>
        <v/>
      </c>
      <c r="K590" s="10" t="str">
        <f t="shared" si="38"/>
        <v/>
      </c>
    </row>
    <row r="591" spans="2:11" x14ac:dyDescent="0.25">
      <c r="B591">
        <v>5897</v>
      </c>
      <c r="H591">
        <f t="shared" si="36"/>
        <v>0</v>
      </c>
      <c r="I591" s="9" t="str" cm="1">
        <f t="array" ref="I591">_xlfn.LET(_xlpm.total,SUM(D591:G591),_xlpm.maxv,MAX(D591:G591),IF(_xlpm.total=0,"",IF(_xlpm.maxv/_xlpm.total&lt;0.5,"Mixed-Class",_xlfn.IFS(_xlpm.maxv=D591,"Assault",_xlpm.maxv=E591,"Engineer",_xlpm.maxv=F591,"Recon",_xlpm.maxv=G591,"Support"))))</f>
        <v/>
      </c>
      <c r="J591" t="str">
        <f t="shared" si="37"/>
        <v/>
      </c>
      <c r="K591" s="10" t="str">
        <f t="shared" si="38"/>
        <v/>
      </c>
    </row>
    <row r="592" spans="2:11" x14ac:dyDescent="0.25">
      <c r="B592">
        <v>5907</v>
      </c>
      <c r="H592">
        <f t="shared" si="36"/>
        <v>0</v>
      </c>
      <c r="I592" s="9" t="str" cm="1">
        <f t="array" ref="I592">_xlfn.LET(_xlpm.total,SUM(D592:G592),_xlpm.maxv,MAX(D592:G592),IF(_xlpm.total=0,"",IF(_xlpm.maxv/_xlpm.total&lt;0.5,"Mixed-Class",_xlfn.IFS(_xlpm.maxv=D592,"Assault",_xlpm.maxv=E592,"Engineer",_xlpm.maxv=F592,"Recon",_xlpm.maxv=G592,"Support"))))</f>
        <v/>
      </c>
      <c r="J592" t="str">
        <f t="shared" si="37"/>
        <v/>
      </c>
      <c r="K592" s="10" t="str">
        <f t="shared" si="38"/>
        <v/>
      </c>
    </row>
    <row r="593" spans="2:11" x14ac:dyDescent="0.25">
      <c r="B593">
        <v>5917</v>
      </c>
      <c r="H593">
        <f t="shared" si="36"/>
        <v>0</v>
      </c>
      <c r="I593" s="9" t="str" cm="1">
        <f t="array" ref="I593">_xlfn.LET(_xlpm.total,SUM(D593:G593),_xlpm.maxv,MAX(D593:G593),IF(_xlpm.total=0,"",IF(_xlpm.maxv/_xlpm.total&lt;0.5,"Mixed-Class",_xlfn.IFS(_xlpm.maxv=D593,"Assault",_xlpm.maxv=E593,"Engineer",_xlpm.maxv=F593,"Recon",_xlpm.maxv=G593,"Support"))))</f>
        <v/>
      </c>
      <c r="J593" t="str">
        <f t="shared" si="37"/>
        <v/>
      </c>
      <c r="K593" s="10" t="str">
        <f t="shared" si="38"/>
        <v/>
      </c>
    </row>
    <row r="594" spans="2:11" x14ac:dyDescent="0.25">
      <c r="B594">
        <v>5927</v>
      </c>
      <c r="H594">
        <f t="shared" si="36"/>
        <v>0</v>
      </c>
      <c r="I594" s="9" t="str" cm="1">
        <f t="array" ref="I594">_xlfn.LET(_xlpm.total,SUM(D594:G594),_xlpm.maxv,MAX(D594:G594),IF(_xlpm.total=0,"",IF(_xlpm.maxv/_xlpm.total&lt;0.5,"Mixed-Class",_xlfn.IFS(_xlpm.maxv=D594,"Assault",_xlpm.maxv=E594,"Engineer",_xlpm.maxv=F594,"Recon",_xlpm.maxv=G594,"Support"))))</f>
        <v/>
      </c>
      <c r="J594" t="str">
        <f t="shared" si="37"/>
        <v/>
      </c>
      <c r="K594" s="10" t="str">
        <f t="shared" si="38"/>
        <v/>
      </c>
    </row>
    <row r="595" spans="2:11" x14ac:dyDescent="0.25">
      <c r="B595">
        <v>5937</v>
      </c>
      <c r="H595">
        <f t="shared" si="36"/>
        <v>0</v>
      </c>
      <c r="I595" s="9" t="str" cm="1">
        <f t="array" ref="I595">_xlfn.LET(_xlpm.total,SUM(D595:G595),_xlpm.maxv,MAX(D595:G595),IF(_xlpm.total=0,"",IF(_xlpm.maxv/_xlpm.total&lt;0.5,"Mixed-Class",_xlfn.IFS(_xlpm.maxv=D595,"Assault",_xlpm.maxv=E595,"Engineer",_xlpm.maxv=F595,"Recon",_xlpm.maxv=G595,"Support"))))</f>
        <v/>
      </c>
      <c r="J595" t="str">
        <f t="shared" si="37"/>
        <v/>
      </c>
      <c r="K595" s="10" t="str">
        <f t="shared" si="38"/>
        <v/>
      </c>
    </row>
    <row r="596" spans="2:11" x14ac:dyDescent="0.25">
      <c r="B596">
        <v>5947</v>
      </c>
      <c r="H596">
        <f t="shared" si="36"/>
        <v>0</v>
      </c>
      <c r="I596" s="9" t="str" cm="1">
        <f t="array" ref="I596">_xlfn.LET(_xlpm.total,SUM(D596:G596),_xlpm.maxv,MAX(D596:G596),IF(_xlpm.total=0,"",IF(_xlpm.maxv/_xlpm.total&lt;0.5,"Mixed-Class",_xlfn.IFS(_xlpm.maxv=D596,"Assault",_xlpm.maxv=E596,"Engineer",_xlpm.maxv=F596,"Recon",_xlpm.maxv=G596,"Support"))))</f>
        <v/>
      </c>
      <c r="J596" t="str">
        <f t="shared" si="37"/>
        <v/>
      </c>
      <c r="K596" s="10" t="str">
        <f t="shared" si="38"/>
        <v/>
      </c>
    </row>
    <row r="597" spans="2:11" x14ac:dyDescent="0.25">
      <c r="B597">
        <v>5957</v>
      </c>
      <c r="H597">
        <f t="shared" si="36"/>
        <v>0</v>
      </c>
      <c r="I597" s="9" t="str" cm="1">
        <f t="array" ref="I597">_xlfn.LET(_xlpm.total,SUM(D597:G597),_xlpm.maxv,MAX(D597:G597),IF(_xlpm.total=0,"",IF(_xlpm.maxv/_xlpm.total&lt;0.5,"Mixed-Class",_xlfn.IFS(_xlpm.maxv=D597,"Assault",_xlpm.maxv=E597,"Engineer",_xlpm.maxv=F597,"Recon",_xlpm.maxv=G597,"Support"))))</f>
        <v/>
      </c>
      <c r="J597" t="str">
        <f t="shared" si="37"/>
        <v/>
      </c>
      <c r="K597" s="10" t="str">
        <f t="shared" si="38"/>
        <v/>
      </c>
    </row>
    <row r="598" spans="2:11" x14ac:dyDescent="0.25">
      <c r="B598">
        <v>5967</v>
      </c>
      <c r="H598">
        <f t="shared" si="36"/>
        <v>0</v>
      </c>
      <c r="I598" s="9" t="str" cm="1">
        <f t="array" ref="I598">_xlfn.LET(_xlpm.total,SUM(D598:G598),_xlpm.maxv,MAX(D598:G598),IF(_xlpm.total=0,"",IF(_xlpm.maxv/_xlpm.total&lt;0.5,"Mixed-Class",_xlfn.IFS(_xlpm.maxv=D598,"Assault",_xlpm.maxv=E598,"Engineer",_xlpm.maxv=F598,"Recon",_xlpm.maxv=G598,"Support"))))</f>
        <v/>
      </c>
      <c r="J598" t="str">
        <f t="shared" si="37"/>
        <v/>
      </c>
      <c r="K598" s="10" t="str">
        <f t="shared" si="38"/>
        <v/>
      </c>
    </row>
    <row r="599" spans="2:11" x14ac:dyDescent="0.25">
      <c r="B599">
        <v>5977</v>
      </c>
      <c r="H599">
        <f t="shared" si="36"/>
        <v>0</v>
      </c>
      <c r="I599" s="9" t="str" cm="1">
        <f t="array" ref="I599">_xlfn.LET(_xlpm.total,SUM(D599:G599),_xlpm.maxv,MAX(D599:G599),IF(_xlpm.total=0,"",IF(_xlpm.maxv/_xlpm.total&lt;0.5,"Mixed-Class",_xlfn.IFS(_xlpm.maxv=D599,"Assault",_xlpm.maxv=E599,"Engineer",_xlpm.maxv=F599,"Recon",_xlpm.maxv=G599,"Support"))))</f>
        <v/>
      </c>
      <c r="J599" t="str">
        <f t="shared" si="37"/>
        <v/>
      </c>
      <c r="K599" s="10" t="str">
        <f t="shared" si="38"/>
        <v/>
      </c>
    </row>
    <row r="600" spans="2:11" x14ac:dyDescent="0.25">
      <c r="B600">
        <v>5987</v>
      </c>
      <c r="H600">
        <f t="shared" si="36"/>
        <v>0</v>
      </c>
      <c r="I600" s="9" t="str" cm="1">
        <f t="array" ref="I600">_xlfn.LET(_xlpm.total,SUM(D600:G600),_xlpm.maxv,MAX(D600:G600),IF(_xlpm.total=0,"",IF(_xlpm.maxv/_xlpm.total&lt;0.5,"Mixed-Class",_xlfn.IFS(_xlpm.maxv=D600,"Assault",_xlpm.maxv=E600,"Engineer",_xlpm.maxv=F600,"Recon",_xlpm.maxv=G600,"Support"))))</f>
        <v/>
      </c>
      <c r="J600" t="str">
        <f t="shared" si="37"/>
        <v/>
      </c>
      <c r="K600" s="10" t="str">
        <f t="shared" si="38"/>
        <v/>
      </c>
    </row>
    <row r="601" spans="2:11" x14ac:dyDescent="0.25">
      <c r="B601">
        <v>5997</v>
      </c>
      <c r="H601">
        <f t="shared" si="36"/>
        <v>0</v>
      </c>
      <c r="I601" s="9" t="str" cm="1">
        <f t="array" ref="I601">_xlfn.LET(_xlpm.total,SUM(D601:G601),_xlpm.maxv,MAX(D601:G601),IF(_xlpm.total=0,"",IF(_xlpm.maxv/_xlpm.total&lt;0.5,"Mixed-Class",_xlfn.IFS(_xlpm.maxv=D601,"Assault",_xlpm.maxv=E601,"Engineer",_xlpm.maxv=F601,"Recon",_xlpm.maxv=G601,"Support"))))</f>
        <v/>
      </c>
      <c r="J601" t="str">
        <f t="shared" si="37"/>
        <v/>
      </c>
      <c r="K601" s="10" t="str">
        <f t="shared" si="38"/>
        <v/>
      </c>
    </row>
    <row r="602" spans="2:11" x14ac:dyDescent="0.25">
      <c r="B602">
        <v>6007</v>
      </c>
      <c r="H602">
        <f t="shared" si="36"/>
        <v>0</v>
      </c>
      <c r="I602" s="9" t="str" cm="1">
        <f t="array" ref="I602">_xlfn.LET(_xlpm.total,SUM(D602:G602),_xlpm.maxv,MAX(D602:G602),IF(_xlpm.total=0,"",IF(_xlpm.maxv/_xlpm.total&lt;0.5,"Mixed-Class",_xlfn.IFS(_xlpm.maxv=D602,"Assault",_xlpm.maxv=E602,"Engineer",_xlpm.maxv=F602,"Recon",_xlpm.maxv=G602,"Support"))))</f>
        <v/>
      </c>
      <c r="J602" t="str">
        <f t="shared" si="37"/>
        <v/>
      </c>
      <c r="K602" s="10" t="str">
        <f t="shared" si="38"/>
        <v/>
      </c>
    </row>
    <row r="603" spans="2:11" x14ac:dyDescent="0.25">
      <c r="B603">
        <v>6017</v>
      </c>
      <c r="H603">
        <f t="shared" si="36"/>
        <v>0</v>
      </c>
      <c r="I603" s="9" t="str" cm="1">
        <f t="array" ref="I603">_xlfn.LET(_xlpm.total,SUM(D603:G603),_xlpm.maxv,MAX(D603:G603),IF(_xlpm.total=0,"",IF(_xlpm.maxv/_xlpm.total&lt;0.5,"Mixed-Class",_xlfn.IFS(_xlpm.maxv=D603,"Assault",_xlpm.maxv=E603,"Engineer",_xlpm.maxv=F603,"Recon",_xlpm.maxv=G603,"Support"))))</f>
        <v/>
      </c>
      <c r="J603" t="str">
        <f t="shared" si="37"/>
        <v/>
      </c>
      <c r="K603" s="10" t="str">
        <f t="shared" si="38"/>
        <v/>
      </c>
    </row>
    <row r="604" spans="2:11" x14ac:dyDescent="0.25">
      <c r="B604">
        <v>6027</v>
      </c>
      <c r="H604">
        <f t="shared" si="36"/>
        <v>0</v>
      </c>
      <c r="I604" s="9" t="str" cm="1">
        <f t="array" ref="I604">_xlfn.LET(_xlpm.total,SUM(D604:G604),_xlpm.maxv,MAX(D604:G604),IF(_xlpm.total=0,"",IF(_xlpm.maxv/_xlpm.total&lt;0.5,"Mixed-Class",_xlfn.IFS(_xlpm.maxv=D604,"Assault",_xlpm.maxv=E604,"Engineer",_xlpm.maxv=F604,"Recon",_xlpm.maxv=G604,"Support"))))</f>
        <v/>
      </c>
      <c r="J604" t="str">
        <f t="shared" si="37"/>
        <v/>
      </c>
      <c r="K604" s="10" t="str">
        <f t="shared" si="38"/>
        <v/>
      </c>
    </row>
    <row r="605" spans="2:11" x14ac:dyDescent="0.25">
      <c r="B605">
        <v>6037</v>
      </c>
      <c r="H605">
        <f t="shared" si="36"/>
        <v>0</v>
      </c>
      <c r="I605" s="9" t="str" cm="1">
        <f t="array" ref="I605">_xlfn.LET(_xlpm.total,SUM(D605:G605),_xlpm.maxv,MAX(D605:G605),IF(_xlpm.total=0,"",IF(_xlpm.maxv/_xlpm.total&lt;0.5,"Mixed-Class",_xlfn.IFS(_xlpm.maxv=D605,"Assault",_xlpm.maxv=E605,"Engineer",_xlpm.maxv=F605,"Recon",_xlpm.maxv=G605,"Support"))))</f>
        <v/>
      </c>
      <c r="J605" t="str">
        <f t="shared" si="37"/>
        <v/>
      </c>
      <c r="K605" s="10" t="str">
        <f t="shared" si="38"/>
        <v/>
      </c>
    </row>
    <row r="606" spans="2:11" x14ac:dyDescent="0.25">
      <c r="B606">
        <v>6047</v>
      </c>
      <c r="H606">
        <f t="shared" si="36"/>
        <v>0</v>
      </c>
      <c r="I606" s="9" t="str" cm="1">
        <f t="array" ref="I606">_xlfn.LET(_xlpm.total,SUM(D606:G606),_xlpm.maxv,MAX(D606:G606),IF(_xlpm.total=0,"",IF(_xlpm.maxv/_xlpm.total&lt;0.5,"Mixed-Class",_xlfn.IFS(_xlpm.maxv=D606,"Assault",_xlpm.maxv=E606,"Engineer",_xlpm.maxv=F606,"Recon",_xlpm.maxv=G606,"Support"))))</f>
        <v/>
      </c>
      <c r="J606" t="str">
        <f t="shared" si="37"/>
        <v/>
      </c>
      <c r="K606" s="10" t="str">
        <f t="shared" si="38"/>
        <v/>
      </c>
    </row>
    <row r="607" spans="2:11" x14ac:dyDescent="0.25">
      <c r="B607">
        <v>6057</v>
      </c>
      <c r="H607">
        <f t="shared" si="36"/>
        <v>0</v>
      </c>
      <c r="I607" s="9" t="str" cm="1">
        <f t="array" ref="I607">_xlfn.LET(_xlpm.total,SUM(D607:G607),_xlpm.maxv,MAX(D607:G607),IF(_xlpm.total=0,"",IF(_xlpm.maxv/_xlpm.total&lt;0.5,"Mixed-Class",_xlfn.IFS(_xlpm.maxv=D607,"Assault",_xlpm.maxv=E607,"Engineer",_xlpm.maxv=F607,"Recon",_xlpm.maxv=G607,"Support"))))</f>
        <v/>
      </c>
      <c r="J607" t="str">
        <f t="shared" si="37"/>
        <v/>
      </c>
      <c r="K607" s="10" t="str">
        <f t="shared" si="38"/>
        <v/>
      </c>
    </row>
    <row r="608" spans="2:11" x14ac:dyDescent="0.25">
      <c r="B608">
        <v>6067</v>
      </c>
      <c r="H608">
        <f t="shared" si="36"/>
        <v>0</v>
      </c>
      <c r="I608" s="9" t="str" cm="1">
        <f t="array" ref="I608">_xlfn.LET(_xlpm.total,SUM(D608:G608),_xlpm.maxv,MAX(D608:G608),IF(_xlpm.total=0,"",IF(_xlpm.maxv/_xlpm.total&lt;0.5,"Mixed-Class",_xlfn.IFS(_xlpm.maxv=D608,"Assault",_xlpm.maxv=E608,"Engineer",_xlpm.maxv=F608,"Recon",_xlpm.maxv=G608,"Support"))))</f>
        <v/>
      </c>
      <c r="J608" t="str">
        <f t="shared" si="37"/>
        <v/>
      </c>
      <c r="K608" s="10" t="str">
        <f t="shared" si="38"/>
        <v/>
      </c>
    </row>
    <row r="609" spans="2:11" x14ac:dyDescent="0.25">
      <c r="B609">
        <v>6077</v>
      </c>
      <c r="H609">
        <f t="shared" si="36"/>
        <v>0</v>
      </c>
      <c r="I609" s="9" t="str" cm="1">
        <f t="array" ref="I609">_xlfn.LET(_xlpm.total,SUM(D609:G609),_xlpm.maxv,MAX(D609:G609),IF(_xlpm.total=0,"",IF(_xlpm.maxv/_xlpm.total&lt;0.5,"Mixed-Class",_xlfn.IFS(_xlpm.maxv=D609,"Assault",_xlpm.maxv=E609,"Engineer",_xlpm.maxv=F609,"Recon",_xlpm.maxv=G609,"Support"))))</f>
        <v/>
      </c>
      <c r="J609" t="str">
        <f t="shared" si="37"/>
        <v/>
      </c>
      <c r="K609" s="10" t="str">
        <f t="shared" si="38"/>
        <v/>
      </c>
    </row>
    <row r="610" spans="2:11" x14ac:dyDescent="0.25">
      <c r="B610">
        <v>6087</v>
      </c>
      <c r="H610">
        <f t="shared" si="36"/>
        <v>0</v>
      </c>
      <c r="I610" s="9" t="str" cm="1">
        <f t="array" ref="I610">_xlfn.LET(_xlpm.total,SUM(D610:G610),_xlpm.maxv,MAX(D610:G610),IF(_xlpm.total=0,"",IF(_xlpm.maxv/_xlpm.total&lt;0.5,"Mixed-Class",_xlfn.IFS(_xlpm.maxv=D610,"Assault",_xlpm.maxv=E610,"Engineer",_xlpm.maxv=F610,"Recon",_xlpm.maxv=G610,"Support"))))</f>
        <v/>
      </c>
      <c r="J610" t="str">
        <f t="shared" si="37"/>
        <v/>
      </c>
      <c r="K610" s="10" t="str">
        <f t="shared" si="38"/>
        <v/>
      </c>
    </row>
    <row r="611" spans="2:11" x14ac:dyDescent="0.25">
      <c r="B611">
        <v>6097</v>
      </c>
      <c r="H611">
        <f t="shared" si="36"/>
        <v>0</v>
      </c>
      <c r="I611" s="9" t="str" cm="1">
        <f t="array" ref="I611">_xlfn.LET(_xlpm.total,SUM(D611:G611),_xlpm.maxv,MAX(D611:G611),IF(_xlpm.total=0,"",IF(_xlpm.maxv/_xlpm.total&lt;0.5,"Mixed-Class",_xlfn.IFS(_xlpm.maxv=D611,"Assault",_xlpm.maxv=E611,"Engineer",_xlpm.maxv=F611,"Recon",_xlpm.maxv=G611,"Support"))))</f>
        <v/>
      </c>
      <c r="J611" t="str">
        <f t="shared" si="37"/>
        <v/>
      </c>
      <c r="K611" s="10" t="str">
        <f t="shared" si="38"/>
        <v/>
      </c>
    </row>
    <row r="612" spans="2:11" x14ac:dyDescent="0.25">
      <c r="B612">
        <v>6107</v>
      </c>
      <c r="H612">
        <f t="shared" si="36"/>
        <v>0</v>
      </c>
      <c r="I612" s="9" t="str" cm="1">
        <f t="array" ref="I612">_xlfn.LET(_xlpm.total,SUM(D612:G612),_xlpm.maxv,MAX(D612:G612),IF(_xlpm.total=0,"",IF(_xlpm.maxv/_xlpm.total&lt;0.5,"Mixed-Class",_xlfn.IFS(_xlpm.maxv=D612,"Assault",_xlpm.maxv=E612,"Engineer",_xlpm.maxv=F612,"Recon",_xlpm.maxv=G612,"Support"))))</f>
        <v/>
      </c>
      <c r="J612" t="str">
        <f t="shared" si="37"/>
        <v/>
      </c>
      <c r="K612" s="10" t="str">
        <f t="shared" si="38"/>
        <v/>
      </c>
    </row>
    <row r="613" spans="2:11" x14ac:dyDescent="0.25">
      <c r="B613">
        <v>6117</v>
      </c>
      <c r="H613">
        <f t="shared" si="36"/>
        <v>0</v>
      </c>
      <c r="I613" s="9" t="str" cm="1">
        <f t="array" ref="I613">_xlfn.LET(_xlpm.total,SUM(D613:G613),_xlpm.maxv,MAX(D613:G613),IF(_xlpm.total=0,"",IF(_xlpm.maxv/_xlpm.total&lt;0.5,"Mixed-Class",_xlfn.IFS(_xlpm.maxv=D613,"Assault",_xlpm.maxv=E613,"Engineer",_xlpm.maxv=F613,"Recon",_xlpm.maxv=G613,"Support"))))</f>
        <v/>
      </c>
      <c r="J613" t="str">
        <f t="shared" si="37"/>
        <v/>
      </c>
      <c r="K613" s="10" t="str">
        <f t="shared" si="38"/>
        <v/>
      </c>
    </row>
    <row r="614" spans="2:11" x14ac:dyDescent="0.25">
      <c r="B614">
        <v>6127</v>
      </c>
      <c r="H614">
        <f t="shared" si="36"/>
        <v>0</v>
      </c>
      <c r="I614" s="9" t="str" cm="1">
        <f t="array" ref="I614">_xlfn.LET(_xlpm.total,SUM(D614:G614),_xlpm.maxv,MAX(D614:G614),IF(_xlpm.total=0,"",IF(_xlpm.maxv/_xlpm.total&lt;0.5,"Mixed-Class",_xlfn.IFS(_xlpm.maxv=D614,"Assault",_xlpm.maxv=E614,"Engineer",_xlpm.maxv=F614,"Recon",_xlpm.maxv=G614,"Support"))))</f>
        <v/>
      </c>
      <c r="J614" t="str">
        <f t="shared" si="37"/>
        <v/>
      </c>
      <c r="K614" s="10" t="str">
        <f t="shared" si="38"/>
        <v/>
      </c>
    </row>
    <row r="615" spans="2:11" x14ac:dyDescent="0.25">
      <c r="B615">
        <v>6137</v>
      </c>
      <c r="H615">
        <f t="shared" si="36"/>
        <v>0</v>
      </c>
      <c r="I615" s="9" t="str" cm="1">
        <f t="array" ref="I615">_xlfn.LET(_xlpm.total,SUM(D615:G615),_xlpm.maxv,MAX(D615:G615),IF(_xlpm.total=0,"",IF(_xlpm.maxv/_xlpm.total&lt;0.5,"Mixed-Class",_xlfn.IFS(_xlpm.maxv=D615,"Assault",_xlpm.maxv=E615,"Engineer",_xlpm.maxv=F615,"Recon",_xlpm.maxv=G615,"Support"))))</f>
        <v/>
      </c>
      <c r="J615" t="str">
        <f t="shared" si="37"/>
        <v/>
      </c>
      <c r="K615" s="10" t="str">
        <f t="shared" si="38"/>
        <v/>
      </c>
    </row>
    <row r="616" spans="2:11" x14ac:dyDescent="0.25">
      <c r="B616">
        <v>6147</v>
      </c>
      <c r="H616">
        <f t="shared" si="36"/>
        <v>0</v>
      </c>
      <c r="I616" s="9" t="str" cm="1">
        <f t="array" ref="I616">_xlfn.LET(_xlpm.total,SUM(D616:G616),_xlpm.maxv,MAX(D616:G616),IF(_xlpm.total=0,"",IF(_xlpm.maxv/_xlpm.total&lt;0.5,"Mixed-Class",_xlfn.IFS(_xlpm.maxv=D616,"Assault",_xlpm.maxv=E616,"Engineer",_xlpm.maxv=F616,"Recon",_xlpm.maxv=G616,"Support"))))</f>
        <v/>
      </c>
      <c r="J616" t="str">
        <f t="shared" si="37"/>
        <v/>
      </c>
      <c r="K616" s="10" t="str">
        <f t="shared" si="38"/>
        <v/>
      </c>
    </row>
    <row r="617" spans="2:11" x14ac:dyDescent="0.25">
      <c r="B617">
        <v>6157</v>
      </c>
      <c r="H617">
        <f t="shared" si="36"/>
        <v>0</v>
      </c>
      <c r="I617" s="9" t="str" cm="1">
        <f t="array" ref="I617">_xlfn.LET(_xlpm.total,SUM(D617:G617),_xlpm.maxv,MAX(D617:G617),IF(_xlpm.total=0,"",IF(_xlpm.maxv/_xlpm.total&lt;0.5,"Mixed-Class",_xlfn.IFS(_xlpm.maxv=D617,"Assault",_xlpm.maxv=E617,"Engineer",_xlpm.maxv=F617,"Recon",_xlpm.maxv=G617,"Support"))))</f>
        <v/>
      </c>
      <c r="J617" t="str">
        <f t="shared" si="37"/>
        <v/>
      </c>
      <c r="K617" s="10" t="str">
        <f t="shared" si="38"/>
        <v/>
      </c>
    </row>
    <row r="618" spans="2:11" x14ac:dyDescent="0.25">
      <c r="B618">
        <v>6167</v>
      </c>
      <c r="H618">
        <f t="shared" si="36"/>
        <v>0</v>
      </c>
      <c r="I618" s="9" t="str" cm="1">
        <f t="array" ref="I618">_xlfn.LET(_xlpm.total,SUM(D618:G618),_xlpm.maxv,MAX(D618:G618),IF(_xlpm.total=0,"",IF(_xlpm.maxv/_xlpm.total&lt;0.5,"Mixed-Class",_xlfn.IFS(_xlpm.maxv=D618,"Assault",_xlpm.maxv=E618,"Engineer",_xlpm.maxv=F618,"Recon",_xlpm.maxv=G618,"Support"))))</f>
        <v/>
      </c>
      <c r="J618" t="str">
        <f t="shared" si="37"/>
        <v/>
      </c>
      <c r="K618" s="10" t="str">
        <f t="shared" si="38"/>
        <v/>
      </c>
    </row>
    <row r="619" spans="2:11" x14ac:dyDescent="0.25">
      <c r="B619">
        <v>6177</v>
      </c>
      <c r="H619">
        <f t="shared" si="36"/>
        <v>0</v>
      </c>
      <c r="I619" s="9" t="str" cm="1">
        <f t="array" ref="I619">_xlfn.LET(_xlpm.total,SUM(D619:G619),_xlpm.maxv,MAX(D619:G619),IF(_xlpm.total=0,"",IF(_xlpm.maxv/_xlpm.total&lt;0.5,"Mixed-Class",_xlfn.IFS(_xlpm.maxv=D619,"Assault",_xlpm.maxv=E619,"Engineer",_xlpm.maxv=F619,"Recon",_xlpm.maxv=G619,"Support"))))</f>
        <v/>
      </c>
      <c r="J619" t="str">
        <f t="shared" si="37"/>
        <v/>
      </c>
      <c r="K619" s="10" t="str">
        <f t="shared" si="38"/>
        <v/>
      </c>
    </row>
    <row r="620" spans="2:11" x14ac:dyDescent="0.25">
      <c r="B620">
        <v>6187</v>
      </c>
      <c r="H620">
        <f t="shared" si="36"/>
        <v>0</v>
      </c>
      <c r="I620" s="9" t="str" cm="1">
        <f t="array" ref="I620">_xlfn.LET(_xlpm.total,SUM(D620:G620),_xlpm.maxv,MAX(D620:G620),IF(_xlpm.total=0,"",IF(_xlpm.maxv/_xlpm.total&lt;0.5,"Mixed-Class",_xlfn.IFS(_xlpm.maxv=D620,"Assault",_xlpm.maxv=E620,"Engineer",_xlpm.maxv=F620,"Recon",_xlpm.maxv=G620,"Support"))))</f>
        <v/>
      </c>
      <c r="J620" t="str">
        <f t="shared" si="37"/>
        <v/>
      </c>
      <c r="K620" s="10" t="str">
        <f t="shared" si="38"/>
        <v/>
      </c>
    </row>
    <row r="621" spans="2:11" x14ac:dyDescent="0.25">
      <c r="B621">
        <v>6197</v>
      </c>
      <c r="H621">
        <f t="shared" si="36"/>
        <v>0</v>
      </c>
      <c r="I621" s="9" t="str" cm="1">
        <f t="array" ref="I621">_xlfn.LET(_xlpm.total,SUM(D621:G621),_xlpm.maxv,MAX(D621:G621),IF(_xlpm.total=0,"",IF(_xlpm.maxv/_xlpm.total&lt;0.5,"Mixed-Class",_xlfn.IFS(_xlpm.maxv=D621,"Assault",_xlpm.maxv=E621,"Engineer",_xlpm.maxv=F621,"Recon",_xlpm.maxv=G621,"Support"))))</f>
        <v/>
      </c>
      <c r="J621" t="str">
        <f t="shared" si="37"/>
        <v/>
      </c>
      <c r="K621" s="10" t="str">
        <f t="shared" si="38"/>
        <v/>
      </c>
    </row>
    <row r="622" spans="2:11" x14ac:dyDescent="0.25">
      <c r="B622">
        <v>6207</v>
      </c>
      <c r="H622">
        <f t="shared" si="36"/>
        <v>0</v>
      </c>
      <c r="I622" s="9" t="str" cm="1">
        <f t="array" ref="I622">_xlfn.LET(_xlpm.total,SUM(D622:G622),_xlpm.maxv,MAX(D622:G622),IF(_xlpm.total=0,"",IF(_xlpm.maxv/_xlpm.total&lt;0.5,"Mixed-Class",_xlfn.IFS(_xlpm.maxv=D622,"Assault",_xlpm.maxv=E622,"Engineer",_xlpm.maxv=F622,"Recon",_xlpm.maxv=G622,"Support"))))</f>
        <v/>
      </c>
      <c r="J622" t="str">
        <f t="shared" si="37"/>
        <v/>
      </c>
      <c r="K622" s="10" t="str">
        <f t="shared" si="38"/>
        <v/>
      </c>
    </row>
    <row r="623" spans="2:11" x14ac:dyDescent="0.25">
      <c r="B623">
        <v>6217</v>
      </c>
      <c r="H623">
        <f t="shared" si="36"/>
        <v>0</v>
      </c>
      <c r="I623" s="9" t="str" cm="1">
        <f t="array" ref="I623">_xlfn.LET(_xlpm.total,SUM(D623:G623),_xlpm.maxv,MAX(D623:G623),IF(_xlpm.total=0,"",IF(_xlpm.maxv/_xlpm.total&lt;0.5,"Mixed-Class",_xlfn.IFS(_xlpm.maxv=D623,"Assault",_xlpm.maxv=E623,"Engineer",_xlpm.maxv=F623,"Recon",_xlpm.maxv=G623,"Support"))))</f>
        <v/>
      </c>
      <c r="J623" t="str">
        <f t="shared" si="37"/>
        <v/>
      </c>
      <c r="K623" s="10" t="str">
        <f t="shared" si="38"/>
        <v/>
      </c>
    </row>
    <row r="624" spans="2:11" x14ac:dyDescent="0.25">
      <c r="B624">
        <v>6227</v>
      </c>
      <c r="H624">
        <f t="shared" si="36"/>
        <v>0</v>
      </c>
      <c r="I624" s="9" t="str" cm="1">
        <f t="array" ref="I624">_xlfn.LET(_xlpm.total,SUM(D624:G624),_xlpm.maxv,MAX(D624:G624),IF(_xlpm.total=0,"",IF(_xlpm.maxv/_xlpm.total&lt;0.5,"Mixed-Class",_xlfn.IFS(_xlpm.maxv=D624,"Assault",_xlpm.maxv=E624,"Engineer",_xlpm.maxv=F624,"Recon",_xlpm.maxv=G624,"Support"))))</f>
        <v/>
      </c>
      <c r="J624" t="str">
        <f t="shared" si="37"/>
        <v/>
      </c>
      <c r="K624" s="10" t="str">
        <f t="shared" si="38"/>
        <v/>
      </c>
    </row>
    <row r="625" spans="2:11" x14ac:dyDescent="0.25">
      <c r="B625">
        <v>6237</v>
      </c>
      <c r="H625">
        <f t="shared" si="36"/>
        <v>0</v>
      </c>
      <c r="I625" s="9" t="str" cm="1">
        <f t="array" ref="I625">_xlfn.LET(_xlpm.total,SUM(D625:G625),_xlpm.maxv,MAX(D625:G625),IF(_xlpm.total=0,"",IF(_xlpm.maxv/_xlpm.total&lt;0.5,"Mixed-Class",_xlfn.IFS(_xlpm.maxv=D625,"Assault",_xlpm.maxv=E625,"Engineer",_xlpm.maxv=F625,"Recon",_xlpm.maxv=G625,"Support"))))</f>
        <v/>
      </c>
      <c r="J625" t="str">
        <f t="shared" si="37"/>
        <v/>
      </c>
      <c r="K625" s="10" t="str">
        <f t="shared" si="38"/>
        <v/>
      </c>
    </row>
    <row r="626" spans="2:11" x14ac:dyDescent="0.25">
      <c r="B626">
        <v>6247</v>
      </c>
      <c r="H626">
        <f t="shared" si="36"/>
        <v>0</v>
      </c>
      <c r="I626" s="9" t="str" cm="1">
        <f t="array" ref="I626">_xlfn.LET(_xlpm.total,SUM(D626:G626),_xlpm.maxv,MAX(D626:G626),IF(_xlpm.total=0,"",IF(_xlpm.maxv/_xlpm.total&lt;0.5,"Mixed-Class",_xlfn.IFS(_xlpm.maxv=D626,"Assault",_xlpm.maxv=E626,"Engineer",_xlpm.maxv=F626,"Recon",_xlpm.maxv=G626,"Support"))))</f>
        <v/>
      </c>
      <c r="J626" t="str">
        <f t="shared" si="37"/>
        <v/>
      </c>
      <c r="K626" s="10" t="str">
        <f t="shared" si="38"/>
        <v/>
      </c>
    </row>
    <row r="627" spans="2:11" x14ac:dyDescent="0.25">
      <c r="B627">
        <v>6257</v>
      </c>
      <c r="H627">
        <f t="shared" si="36"/>
        <v>0</v>
      </c>
      <c r="I627" s="9" t="str" cm="1">
        <f t="array" ref="I627">_xlfn.LET(_xlpm.total,SUM(D627:G627),_xlpm.maxv,MAX(D627:G627),IF(_xlpm.total=0,"",IF(_xlpm.maxv/_xlpm.total&lt;0.5,"Mixed-Class",_xlfn.IFS(_xlpm.maxv=D627,"Assault",_xlpm.maxv=E627,"Engineer",_xlpm.maxv=F627,"Recon",_xlpm.maxv=G627,"Support"))))</f>
        <v/>
      </c>
      <c r="J627" t="str">
        <f t="shared" si="37"/>
        <v/>
      </c>
      <c r="K627" s="10" t="str">
        <f t="shared" si="38"/>
        <v/>
      </c>
    </row>
    <row r="628" spans="2:11" x14ac:dyDescent="0.25">
      <c r="B628">
        <v>6267</v>
      </c>
      <c r="H628">
        <f t="shared" si="36"/>
        <v>0</v>
      </c>
      <c r="I628" s="9" t="str" cm="1">
        <f t="array" ref="I628">_xlfn.LET(_xlpm.total,SUM(D628:G628),_xlpm.maxv,MAX(D628:G628),IF(_xlpm.total=0,"",IF(_xlpm.maxv/_xlpm.total&lt;0.5,"Mixed-Class",_xlfn.IFS(_xlpm.maxv=D628,"Assault",_xlpm.maxv=E628,"Engineer",_xlpm.maxv=F628,"Recon",_xlpm.maxv=G628,"Support"))))</f>
        <v/>
      </c>
      <c r="J628" t="str">
        <f t="shared" si="37"/>
        <v/>
      </c>
      <c r="K628" s="10" t="str">
        <f t="shared" si="38"/>
        <v/>
      </c>
    </row>
    <row r="629" spans="2:11" x14ac:dyDescent="0.25">
      <c r="B629">
        <v>6277</v>
      </c>
      <c r="H629">
        <f t="shared" si="36"/>
        <v>0</v>
      </c>
      <c r="I629" s="9" t="str" cm="1">
        <f t="array" ref="I629">_xlfn.LET(_xlpm.total,SUM(D629:G629),_xlpm.maxv,MAX(D629:G629),IF(_xlpm.total=0,"",IF(_xlpm.maxv/_xlpm.total&lt;0.5,"Mixed-Class",_xlfn.IFS(_xlpm.maxv=D629,"Assault",_xlpm.maxv=E629,"Engineer",_xlpm.maxv=F629,"Recon",_xlpm.maxv=G629,"Support"))))</f>
        <v/>
      </c>
      <c r="J629" t="str">
        <f t="shared" si="37"/>
        <v/>
      </c>
      <c r="K629" s="10" t="str">
        <f t="shared" si="38"/>
        <v/>
      </c>
    </row>
    <row r="630" spans="2:11" x14ac:dyDescent="0.25">
      <c r="B630">
        <v>6287</v>
      </c>
      <c r="H630">
        <f t="shared" si="36"/>
        <v>0</v>
      </c>
      <c r="I630" s="9" t="str" cm="1">
        <f t="array" ref="I630">_xlfn.LET(_xlpm.total,SUM(D630:G630),_xlpm.maxv,MAX(D630:G630),IF(_xlpm.total=0,"",IF(_xlpm.maxv/_xlpm.total&lt;0.5,"Mixed-Class",_xlfn.IFS(_xlpm.maxv=D630,"Assault",_xlpm.maxv=E630,"Engineer",_xlpm.maxv=F630,"Recon",_xlpm.maxv=G630,"Support"))))</f>
        <v/>
      </c>
      <c r="J630" t="str">
        <f t="shared" si="37"/>
        <v/>
      </c>
      <c r="K630" s="10" t="str">
        <f t="shared" si="38"/>
        <v/>
      </c>
    </row>
    <row r="631" spans="2:11" x14ac:dyDescent="0.25">
      <c r="B631">
        <v>6297</v>
      </c>
      <c r="H631">
        <f t="shared" si="36"/>
        <v>0</v>
      </c>
      <c r="I631" s="9" t="str" cm="1">
        <f t="array" ref="I631">_xlfn.LET(_xlpm.total,SUM(D631:G631),_xlpm.maxv,MAX(D631:G631),IF(_xlpm.total=0,"",IF(_xlpm.maxv/_xlpm.total&lt;0.5,"Mixed-Class",_xlfn.IFS(_xlpm.maxv=D631,"Assault",_xlpm.maxv=E631,"Engineer",_xlpm.maxv=F631,"Recon",_xlpm.maxv=G631,"Support"))))</f>
        <v/>
      </c>
      <c r="J631" t="str">
        <f t="shared" si="37"/>
        <v/>
      </c>
      <c r="K631" s="10" t="str">
        <f t="shared" si="38"/>
        <v/>
      </c>
    </row>
    <row r="632" spans="2:11" x14ac:dyDescent="0.25">
      <c r="B632">
        <v>6307</v>
      </c>
      <c r="H632">
        <f t="shared" si="36"/>
        <v>0</v>
      </c>
      <c r="I632" s="9" t="str" cm="1">
        <f t="array" ref="I632">_xlfn.LET(_xlpm.total,SUM(D632:G632),_xlpm.maxv,MAX(D632:G632),IF(_xlpm.total=0,"",IF(_xlpm.maxv/_xlpm.total&lt;0.5,"Mixed-Class",_xlfn.IFS(_xlpm.maxv=D632,"Assault",_xlpm.maxv=E632,"Engineer",_xlpm.maxv=F632,"Recon",_xlpm.maxv=G632,"Support"))))</f>
        <v/>
      </c>
      <c r="J632" t="str">
        <f t="shared" si="37"/>
        <v/>
      </c>
      <c r="K632" s="10" t="str">
        <f t="shared" si="38"/>
        <v/>
      </c>
    </row>
    <row r="633" spans="2:11" x14ac:dyDescent="0.25">
      <c r="B633">
        <v>6317</v>
      </c>
      <c r="H633">
        <f t="shared" si="36"/>
        <v>0</v>
      </c>
      <c r="I633" s="9" t="str" cm="1">
        <f t="array" ref="I633">_xlfn.LET(_xlpm.total,SUM(D633:G633),_xlpm.maxv,MAX(D633:G633),IF(_xlpm.total=0,"",IF(_xlpm.maxv/_xlpm.total&lt;0.5,"Mixed-Class",_xlfn.IFS(_xlpm.maxv=D633,"Assault",_xlpm.maxv=E633,"Engineer",_xlpm.maxv=F633,"Recon",_xlpm.maxv=G633,"Support"))))</f>
        <v/>
      </c>
      <c r="J633" t="str">
        <f t="shared" si="37"/>
        <v/>
      </c>
      <c r="K633" s="10" t="str">
        <f t="shared" si="38"/>
        <v/>
      </c>
    </row>
    <row r="634" spans="2:11" x14ac:dyDescent="0.25">
      <c r="B634">
        <v>6327</v>
      </c>
      <c r="H634">
        <f t="shared" si="36"/>
        <v>0</v>
      </c>
      <c r="I634" s="9" t="str" cm="1">
        <f t="array" ref="I634">_xlfn.LET(_xlpm.total,SUM(D634:G634),_xlpm.maxv,MAX(D634:G634),IF(_xlpm.total=0,"",IF(_xlpm.maxv/_xlpm.total&lt;0.5,"Mixed-Class",_xlfn.IFS(_xlpm.maxv=D634,"Assault",_xlpm.maxv=E634,"Engineer",_xlpm.maxv=F634,"Recon",_xlpm.maxv=G634,"Support"))))</f>
        <v/>
      </c>
      <c r="J634" t="str">
        <f t="shared" si="37"/>
        <v/>
      </c>
      <c r="K634" s="10" t="str">
        <f t="shared" si="38"/>
        <v/>
      </c>
    </row>
    <row r="635" spans="2:11" x14ac:dyDescent="0.25">
      <c r="B635">
        <v>6337</v>
      </c>
      <c r="H635">
        <f t="shared" si="36"/>
        <v>0</v>
      </c>
      <c r="I635" s="9" t="str" cm="1">
        <f t="array" ref="I635">_xlfn.LET(_xlpm.total,SUM(D635:G635),_xlpm.maxv,MAX(D635:G635),IF(_xlpm.total=0,"",IF(_xlpm.maxv/_xlpm.total&lt;0.5,"Mixed-Class",_xlfn.IFS(_xlpm.maxv=D635,"Assault",_xlpm.maxv=E635,"Engineer",_xlpm.maxv=F635,"Recon",_xlpm.maxv=G635,"Support"))))</f>
        <v/>
      </c>
      <c r="J635" t="str">
        <f t="shared" si="37"/>
        <v/>
      </c>
      <c r="K635" s="10" t="str">
        <f t="shared" si="38"/>
        <v/>
      </c>
    </row>
    <row r="636" spans="2:11" x14ac:dyDescent="0.25">
      <c r="B636">
        <v>6347</v>
      </c>
      <c r="H636">
        <f t="shared" si="36"/>
        <v>0</v>
      </c>
      <c r="I636" s="9" t="str" cm="1">
        <f t="array" ref="I636">_xlfn.LET(_xlpm.total,SUM(D636:G636),_xlpm.maxv,MAX(D636:G636),IF(_xlpm.total=0,"",IF(_xlpm.maxv/_xlpm.total&lt;0.5,"Mixed-Class",_xlfn.IFS(_xlpm.maxv=D636,"Assault",_xlpm.maxv=E636,"Engineer",_xlpm.maxv=F636,"Recon",_xlpm.maxv=G636,"Support"))))</f>
        <v/>
      </c>
      <c r="J636" t="str">
        <f t="shared" si="37"/>
        <v/>
      </c>
      <c r="K636" s="10" t="str">
        <f t="shared" si="38"/>
        <v/>
      </c>
    </row>
    <row r="637" spans="2:11" x14ac:dyDescent="0.25">
      <c r="B637">
        <v>6357</v>
      </c>
      <c r="H637">
        <f t="shared" si="36"/>
        <v>0</v>
      </c>
      <c r="I637" s="9" t="str" cm="1">
        <f t="array" ref="I637">_xlfn.LET(_xlpm.total,SUM(D637:G637),_xlpm.maxv,MAX(D637:G637),IF(_xlpm.total=0,"",IF(_xlpm.maxv/_xlpm.total&lt;0.5,"Mixed-Class",_xlfn.IFS(_xlpm.maxv=D637,"Assault",_xlpm.maxv=E637,"Engineer",_xlpm.maxv=F637,"Recon",_xlpm.maxv=G637,"Support"))))</f>
        <v/>
      </c>
      <c r="J637" t="str">
        <f t="shared" si="37"/>
        <v/>
      </c>
      <c r="K637" s="10" t="str">
        <f t="shared" si="38"/>
        <v/>
      </c>
    </row>
    <row r="638" spans="2:11" x14ac:dyDescent="0.25">
      <c r="B638">
        <v>6367</v>
      </c>
      <c r="H638">
        <f t="shared" si="36"/>
        <v>0</v>
      </c>
      <c r="I638" s="9" t="str" cm="1">
        <f t="array" ref="I638">_xlfn.LET(_xlpm.total,SUM(D638:G638),_xlpm.maxv,MAX(D638:G638),IF(_xlpm.total=0,"",IF(_xlpm.maxv/_xlpm.total&lt;0.5,"Mixed-Class",_xlfn.IFS(_xlpm.maxv=D638,"Assault",_xlpm.maxv=E638,"Engineer",_xlpm.maxv=F638,"Recon",_xlpm.maxv=G638,"Support"))))</f>
        <v/>
      </c>
      <c r="J638" t="str">
        <f t="shared" si="37"/>
        <v/>
      </c>
      <c r="K638" s="10" t="str">
        <f t="shared" si="38"/>
        <v/>
      </c>
    </row>
    <row r="639" spans="2:11" x14ac:dyDescent="0.25">
      <c r="B639">
        <v>6377</v>
      </c>
      <c r="H639">
        <f t="shared" si="36"/>
        <v>0</v>
      </c>
      <c r="I639" s="9" t="str" cm="1">
        <f t="array" ref="I639">_xlfn.LET(_xlpm.total,SUM(D639:G639),_xlpm.maxv,MAX(D639:G639),IF(_xlpm.total=0,"",IF(_xlpm.maxv/_xlpm.total&lt;0.5,"Mixed-Class",_xlfn.IFS(_xlpm.maxv=D639,"Assault",_xlpm.maxv=E639,"Engineer",_xlpm.maxv=F639,"Recon",_xlpm.maxv=G639,"Support"))))</f>
        <v/>
      </c>
      <c r="J639" t="str">
        <f t="shared" si="37"/>
        <v/>
      </c>
      <c r="K639" s="10" t="str">
        <f t="shared" si="38"/>
        <v/>
      </c>
    </row>
    <row r="640" spans="2:11" x14ac:dyDescent="0.25">
      <c r="B640">
        <v>6387</v>
      </c>
      <c r="H640">
        <f t="shared" si="36"/>
        <v>0</v>
      </c>
      <c r="I640" s="9" t="str" cm="1">
        <f t="array" ref="I640">_xlfn.LET(_xlpm.total,SUM(D640:G640),_xlpm.maxv,MAX(D640:G640),IF(_xlpm.total=0,"",IF(_xlpm.maxv/_xlpm.total&lt;0.5,"Mixed-Class",_xlfn.IFS(_xlpm.maxv=D640,"Assault",_xlpm.maxv=E640,"Engineer",_xlpm.maxv=F640,"Recon",_xlpm.maxv=G640,"Support"))))</f>
        <v/>
      </c>
      <c r="J640" t="str">
        <f t="shared" si="37"/>
        <v/>
      </c>
      <c r="K640" s="10" t="str">
        <f t="shared" si="38"/>
        <v/>
      </c>
    </row>
    <row r="641" spans="2:11" x14ac:dyDescent="0.25">
      <c r="B641">
        <v>6397</v>
      </c>
      <c r="H641">
        <f t="shared" si="36"/>
        <v>0</v>
      </c>
      <c r="I641" s="9" t="str" cm="1">
        <f t="array" ref="I641">_xlfn.LET(_xlpm.total,SUM(D641:G641),_xlpm.maxv,MAX(D641:G641),IF(_xlpm.total=0,"",IF(_xlpm.maxv/_xlpm.total&lt;0.5,"Mixed-Class",_xlfn.IFS(_xlpm.maxv=D641,"Assault",_xlpm.maxv=E641,"Engineer",_xlpm.maxv=F641,"Recon",_xlpm.maxv=G641,"Support"))))</f>
        <v/>
      </c>
      <c r="J641" t="str">
        <f t="shared" si="37"/>
        <v/>
      </c>
      <c r="K641" s="10" t="str">
        <f t="shared" si="38"/>
        <v/>
      </c>
    </row>
    <row r="642" spans="2:11" x14ac:dyDescent="0.25">
      <c r="B642">
        <v>6407</v>
      </c>
      <c r="H642">
        <f t="shared" si="36"/>
        <v>0</v>
      </c>
      <c r="I642" s="9" t="str" cm="1">
        <f t="array" ref="I642">_xlfn.LET(_xlpm.total,SUM(D642:G642),_xlpm.maxv,MAX(D642:G642),IF(_xlpm.total=0,"",IF(_xlpm.maxv/_xlpm.total&lt;0.5,"Mixed-Class",_xlfn.IFS(_xlpm.maxv=D642,"Assault",_xlpm.maxv=E642,"Engineer",_xlpm.maxv=F642,"Recon",_xlpm.maxv=G642,"Support"))))</f>
        <v/>
      </c>
      <c r="J642" t="str">
        <f t="shared" si="37"/>
        <v/>
      </c>
      <c r="K642" s="10" t="str">
        <f t="shared" si="38"/>
        <v/>
      </c>
    </row>
    <row r="643" spans="2:11" x14ac:dyDescent="0.25">
      <c r="B643">
        <v>6417</v>
      </c>
      <c r="H643">
        <f t="shared" ref="H643:H706" si="39">SUM(D643:G643)</f>
        <v>0</v>
      </c>
      <c r="I643" s="9" t="str" cm="1">
        <f t="array" ref="I643">_xlfn.LET(_xlpm.total,SUM(D643:G643),_xlpm.maxv,MAX(D643:G643),IF(_xlpm.total=0,"",IF(_xlpm.maxv/_xlpm.total&lt;0.5,"Mixed-Class",_xlfn.IFS(_xlpm.maxv=D643,"Assault",_xlpm.maxv=E643,"Engineer",_xlpm.maxv=F643,"Recon",_xlpm.maxv=G643,"Support"))))</f>
        <v/>
      </c>
      <c r="J643" t="str">
        <f t="shared" ref="J643:J706" si="40">_xlfn.LET(_xlpm.total,SUM(D643:G643),IF(_xlpm.total=0,"",MAX(D643:G643)/_xlpm.total&gt;=0.5))</f>
        <v/>
      </c>
      <c r="K643" s="10" t="str">
        <f t="shared" ref="K643:K706" si="41">_xlfn.LET(_xlpm.total,SUM(D643:G643),IF(_xlpm.total=0,"",MAX(D643:G643)/_xlpm.total))</f>
        <v/>
      </c>
    </row>
    <row r="644" spans="2:11" x14ac:dyDescent="0.25">
      <c r="B644">
        <v>6427</v>
      </c>
      <c r="H644">
        <f t="shared" si="39"/>
        <v>0</v>
      </c>
      <c r="I644" s="9" t="str" cm="1">
        <f t="array" ref="I644">_xlfn.LET(_xlpm.total,SUM(D644:G644),_xlpm.maxv,MAX(D644:G644),IF(_xlpm.total=0,"",IF(_xlpm.maxv/_xlpm.total&lt;0.5,"Mixed-Class",_xlfn.IFS(_xlpm.maxv=D644,"Assault",_xlpm.maxv=E644,"Engineer",_xlpm.maxv=F644,"Recon",_xlpm.maxv=G644,"Support"))))</f>
        <v/>
      </c>
      <c r="J644" t="str">
        <f t="shared" si="40"/>
        <v/>
      </c>
      <c r="K644" s="10" t="str">
        <f t="shared" si="41"/>
        <v/>
      </c>
    </row>
    <row r="645" spans="2:11" x14ac:dyDescent="0.25">
      <c r="B645">
        <v>6437</v>
      </c>
      <c r="H645">
        <f t="shared" si="39"/>
        <v>0</v>
      </c>
      <c r="I645" s="9" t="str" cm="1">
        <f t="array" ref="I645">_xlfn.LET(_xlpm.total,SUM(D645:G645),_xlpm.maxv,MAX(D645:G645),IF(_xlpm.total=0,"",IF(_xlpm.maxv/_xlpm.total&lt;0.5,"Mixed-Class",_xlfn.IFS(_xlpm.maxv=D645,"Assault",_xlpm.maxv=E645,"Engineer",_xlpm.maxv=F645,"Recon",_xlpm.maxv=G645,"Support"))))</f>
        <v/>
      </c>
      <c r="J645" t="str">
        <f t="shared" si="40"/>
        <v/>
      </c>
      <c r="K645" s="10" t="str">
        <f t="shared" si="41"/>
        <v/>
      </c>
    </row>
    <row r="646" spans="2:11" x14ac:dyDescent="0.25">
      <c r="B646">
        <v>6447</v>
      </c>
      <c r="H646">
        <f t="shared" si="39"/>
        <v>0</v>
      </c>
      <c r="I646" s="9" t="str" cm="1">
        <f t="array" ref="I646">_xlfn.LET(_xlpm.total,SUM(D646:G646),_xlpm.maxv,MAX(D646:G646),IF(_xlpm.total=0,"",IF(_xlpm.maxv/_xlpm.total&lt;0.5,"Mixed-Class",_xlfn.IFS(_xlpm.maxv=D646,"Assault",_xlpm.maxv=E646,"Engineer",_xlpm.maxv=F646,"Recon",_xlpm.maxv=G646,"Support"))))</f>
        <v/>
      </c>
      <c r="J646" t="str">
        <f t="shared" si="40"/>
        <v/>
      </c>
      <c r="K646" s="10" t="str">
        <f t="shared" si="41"/>
        <v/>
      </c>
    </row>
    <row r="647" spans="2:11" x14ac:dyDescent="0.25">
      <c r="B647">
        <v>6457</v>
      </c>
      <c r="H647">
        <f t="shared" si="39"/>
        <v>0</v>
      </c>
      <c r="I647" s="9" t="str" cm="1">
        <f t="array" ref="I647">_xlfn.LET(_xlpm.total,SUM(D647:G647),_xlpm.maxv,MAX(D647:G647),IF(_xlpm.total=0,"",IF(_xlpm.maxv/_xlpm.total&lt;0.5,"Mixed-Class",_xlfn.IFS(_xlpm.maxv=D647,"Assault",_xlpm.maxv=E647,"Engineer",_xlpm.maxv=F647,"Recon",_xlpm.maxv=G647,"Support"))))</f>
        <v/>
      </c>
      <c r="J647" t="str">
        <f t="shared" si="40"/>
        <v/>
      </c>
      <c r="K647" s="10" t="str">
        <f t="shared" si="41"/>
        <v/>
      </c>
    </row>
    <row r="648" spans="2:11" x14ac:dyDescent="0.25">
      <c r="B648">
        <v>6467</v>
      </c>
      <c r="H648">
        <f t="shared" si="39"/>
        <v>0</v>
      </c>
      <c r="I648" s="9" t="str" cm="1">
        <f t="array" ref="I648">_xlfn.LET(_xlpm.total,SUM(D648:G648),_xlpm.maxv,MAX(D648:G648),IF(_xlpm.total=0,"",IF(_xlpm.maxv/_xlpm.total&lt;0.5,"Mixed-Class",_xlfn.IFS(_xlpm.maxv=D648,"Assault",_xlpm.maxv=E648,"Engineer",_xlpm.maxv=F648,"Recon",_xlpm.maxv=G648,"Support"))))</f>
        <v/>
      </c>
      <c r="J648" t="str">
        <f t="shared" si="40"/>
        <v/>
      </c>
      <c r="K648" s="10" t="str">
        <f t="shared" si="41"/>
        <v/>
      </c>
    </row>
    <row r="649" spans="2:11" x14ac:dyDescent="0.25">
      <c r="B649">
        <v>6477</v>
      </c>
      <c r="H649">
        <f t="shared" si="39"/>
        <v>0</v>
      </c>
      <c r="I649" s="9" t="str" cm="1">
        <f t="array" ref="I649">_xlfn.LET(_xlpm.total,SUM(D649:G649),_xlpm.maxv,MAX(D649:G649),IF(_xlpm.total=0,"",IF(_xlpm.maxv/_xlpm.total&lt;0.5,"Mixed-Class",_xlfn.IFS(_xlpm.maxv=D649,"Assault",_xlpm.maxv=E649,"Engineer",_xlpm.maxv=F649,"Recon",_xlpm.maxv=G649,"Support"))))</f>
        <v/>
      </c>
      <c r="J649" t="str">
        <f t="shared" si="40"/>
        <v/>
      </c>
      <c r="K649" s="10" t="str">
        <f t="shared" si="41"/>
        <v/>
      </c>
    </row>
    <row r="650" spans="2:11" x14ac:dyDescent="0.25">
      <c r="B650">
        <v>6487</v>
      </c>
      <c r="H650">
        <f t="shared" si="39"/>
        <v>0</v>
      </c>
      <c r="I650" s="9" t="str" cm="1">
        <f t="array" ref="I650">_xlfn.LET(_xlpm.total,SUM(D650:G650),_xlpm.maxv,MAX(D650:G650),IF(_xlpm.total=0,"",IF(_xlpm.maxv/_xlpm.total&lt;0.5,"Mixed-Class",_xlfn.IFS(_xlpm.maxv=D650,"Assault",_xlpm.maxv=E650,"Engineer",_xlpm.maxv=F650,"Recon",_xlpm.maxv=G650,"Support"))))</f>
        <v/>
      </c>
      <c r="J650" t="str">
        <f t="shared" si="40"/>
        <v/>
      </c>
      <c r="K650" s="10" t="str">
        <f t="shared" si="41"/>
        <v/>
      </c>
    </row>
    <row r="651" spans="2:11" x14ac:dyDescent="0.25">
      <c r="B651">
        <v>6497</v>
      </c>
      <c r="H651">
        <f t="shared" si="39"/>
        <v>0</v>
      </c>
      <c r="I651" s="9" t="str" cm="1">
        <f t="array" ref="I651">_xlfn.LET(_xlpm.total,SUM(D651:G651),_xlpm.maxv,MAX(D651:G651),IF(_xlpm.total=0,"",IF(_xlpm.maxv/_xlpm.total&lt;0.5,"Mixed-Class",_xlfn.IFS(_xlpm.maxv=D651,"Assault",_xlpm.maxv=E651,"Engineer",_xlpm.maxv=F651,"Recon",_xlpm.maxv=G651,"Support"))))</f>
        <v/>
      </c>
      <c r="J651" t="str">
        <f t="shared" si="40"/>
        <v/>
      </c>
      <c r="K651" s="10" t="str">
        <f t="shared" si="41"/>
        <v/>
      </c>
    </row>
    <row r="652" spans="2:11" x14ac:dyDescent="0.25">
      <c r="B652">
        <v>6507</v>
      </c>
      <c r="H652">
        <f t="shared" si="39"/>
        <v>0</v>
      </c>
      <c r="I652" s="9" t="str" cm="1">
        <f t="array" ref="I652">_xlfn.LET(_xlpm.total,SUM(D652:G652),_xlpm.maxv,MAX(D652:G652),IF(_xlpm.total=0,"",IF(_xlpm.maxv/_xlpm.total&lt;0.5,"Mixed-Class",_xlfn.IFS(_xlpm.maxv=D652,"Assault",_xlpm.maxv=E652,"Engineer",_xlpm.maxv=F652,"Recon",_xlpm.maxv=G652,"Support"))))</f>
        <v/>
      </c>
      <c r="J652" t="str">
        <f t="shared" si="40"/>
        <v/>
      </c>
      <c r="K652" s="10" t="str">
        <f t="shared" si="41"/>
        <v/>
      </c>
    </row>
    <row r="653" spans="2:11" x14ac:dyDescent="0.25">
      <c r="B653">
        <v>6517</v>
      </c>
      <c r="H653">
        <f t="shared" si="39"/>
        <v>0</v>
      </c>
      <c r="I653" s="9" t="str" cm="1">
        <f t="array" ref="I653">_xlfn.LET(_xlpm.total,SUM(D653:G653),_xlpm.maxv,MAX(D653:G653),IF(_xlpm.total=0,"",IF(_xlpm.maxv/_xlpm.total&lt;0.5,"Mixed-Class",_xlfn.IFS(_xlpm.maxv=D653,"Assault",_xlpm.maxv=E653,"Engineer",_xlpm.maxv=F653,"Recon",_xlpm.maxv=G653,"Support"))))</f>
        <v/>
      </c>
      <c r="J653" t="str">
        <f t="shared" si="40"/>
        <v/>
      </c>
      <c r="K653" s="10" t="str">
        <f t="shared" si="41"/>
        <v/>
      </c>
    </row>
    <row r="654" spans="2:11" x14ac:dyDescent="0.25">
      <c r="B654">
        <v>6527</v>
      </c>
      <c r="H654">
        <f t="shared" si="39"/>
        <v>0</v>
      </c>
      <c r="I654" s="9" t="str" cm="1">
        <f t="array" ref="I654">_xlfn.LET(_xlpm.total,SUM(D654:G654),_xlpm.maxv,MAX(D654:G654),IF(_xlpm.total=0,"",IF(_xlpm.maxv/_xlpm.total&lt;0.5,"Mixed-Class",_xlfn.IFS(_xlpm.maxv=D654,"Assault",_xlpm.maxv=E654,"Engineer",_xlpm.maxv=F654,"Recon",_xlpm.maxv=G654,"Support"))))</f>
        <v/>
      </c>
      <c r="J654" t="str">
        <f t="shared" si="40"/>
        <v/>
      </c>
      <c r="K654" s="10" t="str">
        <f t="shared" si="41"/>
        <v/>
      </c>
    </row>
    <row r="655" spans="2:11" x14ac:dyDescent="0.25">
      <c r="B655">
        <v>6537</v>
      </c>
      <c r="H655">
        <f t="shared" si="39"/>
        <v>0</v>
      </c>
      <c r="I655" s="9" t="str" cm="1">
        <f t="array" ref="I655">_xlfn.LET(_xlpm.total,SUM(D655:G655),_xlpm.maxv,MAX(D655:G655),IF(_xlpm.total=0,"",IF(_xlpm.maxv/_xlpm.total&lt;0.5,"Mixed-Class",_xlfn.IFS(_xlpm.maxv=D655,"Assault",_xlpm.maxv=E655,"Engineer",_xlpm.maxv=F655,"Recon",_xlpm.maxv=G655,"Support"))))</f>
        <v/>
      </c>
      <c r="J655" t="str">
        <f t="shared" si="40"/>
        <v/>
      </c>
      <c r="K655" s="10" t="str">
        <f t="shared" si="41"/>
        <v/>
      </c>
    </row>
    <row r="656" spans="2:11" x14ac:dyDescent="0.25">
      <c r="B656">
        <v>6547</v>
      </c>
      <c r="H656">
        <f t="shared" si="39"/>
        <v>0</v>
      </c>
      <c r="I656" s="9" t="str" cm="1">
        <f t="array" ref="I656">_xlfn.LET(_xlpm.total,SUM(D656:G656),_xlpm.maxv,MAX(D656:G656),IF(_xlpm.total=0,"",IF(_xlpm.maxv/_xlpm.total&lt;0.5,"Mixed-Class",_xlfn.IFS(_xlpm.maxv=D656,"Assault",_xlpm.maxv=E656,"Engineer",_xlpm.maxv=F656,"Recon",_xlpm.maxv=G656,"Support"))))</f>
        <v/>
      </c>
      <c r="J656" t="str">
        <f t="shared" si="40"/>
        <v/>
      </c>
      <c r="K656" s="10" t="str">
        <f t="shared" si="41"/>
        <v/>
      </c>
    </row>
    <row r="657" spans="2:11" x14ac:dyDescent="0.25">
      <c r="B657">
        <v>6557</v>
      </c>
      <c r="H657">
        <f t="shared" si="39"/>
        <v>0</v>
      </c>
      <c r="I657" s="9" t="str" cm="1">
        <f t="array" ref="I657">_xlfn.LET(_xlpm.total,SUM(D657:G657),_xlpm.maxv,MAX(D657:G657),IF(_xlpm.total=0,"",IF(_xlpm.maxv/_xlpm.total&lt;0.5,"Mixed-Class",_xlfn.IFS(_xlpm.maxv=D657,"Assault",_xlpm.maxv=E657,"Engineer",_xlpm.maxv=F657,"Recon",_xlpm.maxv=G657,"Support"))))</f>
        <v/>
      </c>
      <c r="J657" t="str">
        <f t="shared" si="40"/>
        <v/>
      </c>
      <c r="K657" s="10" t="str">
        <f t="shared" si="41"/>
        <v/>
      </c>
    </row>
    <row r="658" spans="2:11" x14ac:dyDescent="0.25">
      <c r="B658">
        <v>6567</v>
      </c>
      <c r="H658">
        <f t="shared" si="39"/>
        <v>0</v>
      </c>
      <c r="I658" s="9" t="str" cm="1">
        <f t="array" ref="I658">_xlfn.LET(_xlpm.total,SUM(D658:G658),_xlpm.maxv,MAX(D658:G658),IF(_xlpm.total=0,"",IF(_xlpm.maxv/_xlpm.total&lt;0.5,"Mixed-Class",_xlfn.IFS(_xlpm.maxv=D658,"Assault",_xlpm.maxv=E658,"Engineer",_xlpm.maxv=F658,"Recon",_xlpm.maxv=G658,"Support"))))</f>
        <v/>
      </c>
      <c r="J658" t="str">
        <f t="shared" si="40"/>
        <v/>
      </c>
      <c r="K658" s="10" t="str">
        <f t="shared" si="41"/>
        <v/>
      </c>
    </row>
    <row r="659" spans="2:11" x14ac:dyDescent="0.25">
      <c r="B659">
        <v>6577</v>
      </c>
      <c r="H659">
        <f t="shared" si="39"/>
        <v>0</v>
      </c>
      <c r="I659" s="9" t="str" cm="1">
        <f t="array" ref="I659">_xlfn.LET(_xlpm.total,SUM(D659:G659),_xlpm.maxv,MAX(D659:G659),IF(_xlpm.total=0,"",IF(_xlpm.maxv/_xlpm.total&lt;0.5,"Mixed-Class",_xlfn.IFS(_xlpm.maxv=D659,"Assault",_xlpm.maxv=E659,"Engineer",_xlpm.maxv=F659,"Recon",_xlpm.maxv=G659,"Support"))))</f>
        <v/>
      </c>
      <c r="J659" t="str">
        <f t="shared" si="40"/>
        <v/>
      </c>
      <c r="K659" s="10" t="str">
        <f t="shared" si="41"/>
        <v/>
      </c>
    </row>
    <row r="660" spans="2:11" x14ac:dyDescent="0.25">
      <c r="B660">
        <v>6587</v>
      </c>
      <c r="H660">
        <f t="shared" si="39"/>
        <v>0</v>
      </c>
      <c r="I660" s="9" t="str" cm="1">
        <f t="array" ref="I660">_xlfn.LET(_xlpm.total,SUM(D660:G660),_xlpm.maxv,MAX(D660:G660),IF(_xlpm.total=0,"",IF(_xlpm.maxv/_xlpm.total&lt;0.5,"Mixed-Class",_xlfn.IFS(_xlpm.maxv=D660,"Assault",_xlpm.maxv=E660,"Engineer",_xlpm.maxv=F660,"Recon",_xlpm.maxv=G660,"Support"))))</f>
        <v/>
      </c>
      <c r="J660" t="str">
        <f t="shared" si="40"/>
        <v/>
      </c>
      <c r="K660" s="10" t="str">
        <f t="shared" si="41"/>
        <v/>
      </c>
    </row>
    <row r="661" spans="2:11" x14ac:dyDescent="0.25">
      <c r="B661">
        <v>6597</v>
      </c>
      <c r="H661">
        <f t="shared" si="39"/>
        <v>0</v>
      </c>
      <c r="I661" s="9" t="str" cm="1">
        <f t="array" ref="I661">_xlfn.LET(_xlpm.total,SUM(D661:G661),_xlpm.maxv,MAX(D661:G661),IF(_xlpm.total=0,"",IF(_xlpm.maxv/_xlpm.total&lt;0.5,"Mixed-Class",_xlfn.IFS(_xlpm.maxv=D661,"Assault",_xlpm.maxv=E661,"Engineer",_xlpm.maxv=F661,"Recon",_xlpm.maxv=G661,"Support"))))</f>
        <v/>
      </c>
      <c r="J661" t="str">
        <f t="shared" si="40"/>
        <v/>
      </c>
      <c r="K661" s="10" t="str">
        <f t="shared" si="41"/>
        <v/>
      </c>
    </row>
    <row r="662" spans="2:11" x14ac:dyDescent="0.25">
      <c r="B662">
        <v>6607</v>
      </c>
      <c r="H662">
        <f t="shared" si="39"/>
        <v>0</v>
      </c>
      <c r="I662" s="9" t="str" cm="1">
        <f t="array" ref="I662">_xlfn.LET(_xlpm.total,SUM(D662:G662),_xlpm.maxv,MAX(D662:G662),IF(_xlpm.total=0,"",IF(_xlpm.maxv/_xlpm.total&lt;0.5,"Mixed-Class",_xlfn.IFS(_xlpm.maxv=D662,"Assault",_xlpm.maxv=E662,"Engineer",_xlpm.maxv=F662,"Recon",_xlpm.maxv=G662,"Support"))))</f>
        <v/>
      </c>
      <c r="J662" t="str">
        <f t="shared" si="40"/>
        <v/>
      </c>
      <c r="K662" s="10" t="str">
        <f t="shared" si="41"/>
        <v/>
      </c>
    </row>
    <row r="663" spans="2:11" x14ac:dyDescent="0.25">
      <c r="B663">
        <v>6617</v>
      </c>
      <c r="H663">
        <f t="shared" si="39"/>
        <v>0</v>
      </c>
      <c r="I663" s="9" t="str" cm="1">
        <f t="array" ref="I663">_xlfn.LET(_xlpm.total,SUM(D663:G663),_xlpm.maxv,MAX(D663:G663),IF(_xlpm.total=0,"",IF(_xlpm.maxv/_xlpm.total&lt;0.5,"Mixed-Class",_xlfn.IFS(_xlpm.maxv=D663,"Assault",_xlpm.maxv=E663,"Engineer",_xlpm.maxv=F663,"Recon",_xlpm.maxv=G663,"Support"))))</f>
        <v/>
      </c>
      <c r="J663" t="str">
        <f t="shared" si="40"/>
        <v/>
      </c>
      <c r="K663" s="10" t="str">
        <f t="shared" si="41"/>
        <v/>
      </c>
    </row>
    <row r="664" spans="2:11" x14ac:dyDescent="0.25">
      <c r="B664">
        <v>6627</v>
      </c>
      <c r="H664">
        <f t="shared" si="39"/>
        <v>0</v>
      </c>
      <c r="I664" s="9" t="str" cm="1">
        <f t="array" ref="I664">_xlfn.LET(_xlpm.total,SUM(D664:G664),_xlpm.maxv,MAX(D664:G664),IF(_xlpm.total=0,"",IF(_xlpm.maxv/_xlpm.total&lt;0.5,"Mixed-Class",_xlfn.IFS(_xlpm.maxv=D664,"Assault",_xlpm.maxv=E664,"Engineer",_xlpm.maxv=F664,"Recon",_xlpm.maxv=G664,"Support"))))</f>
        <v/>
      </c>
      <c r="J664" t="str">
        <f t="shared" si="40"/>
        <v/>
      </c>
      <c r="K664" s="10" t="str">
        <f t="shared" si="41"/>
        <v/>
      </c>
    </row>
    <row r="665" spans="2:11" x14ac:dyDescent="0.25">
      <c r="B665">
        <v>6637</v>
      </c>
      <c r="H665">
        <f t="shared" si="39"/>
        <v>0</v>
      </c>
      <c r="I665" s="9" t="str" cm="1">
        <f t="array" ref="I665">_xlfn.LET(_xlpm.total,SUM(D665:G665),_xlpm.maxv,MAX(D665:G665),IF(_xlpm.total=0,"",IF(_xlpm.maxv/_xlpm.total&lt;0.5,"Mixed-Class",_xlfn.IFS(_xlpm.maxv=D665,"Assault",_xlpm.maxv=E665,"Engineer",_xlpm.maxv=F665,"Recon",_xlpm.maxv=G665,"Support"))))</f>
        <v/>
      </c>
      <c r="J665" t="str">
        <f t="shared" si="40"/>
        <v/>
      </c>
      <c r="K665" s="10" t="str">
        <f t="shared" si="41"/>
        <v/>
      </c>
    </row>
    <row r="666" spans="2:11" x14ac:dyDescent="0.25">
      <c r="B666">
        <v>6647</v>
      </c>
      <c r="H666">
        <f t="shared" si="39"/>
        <v>0</v>
      </c>
      <c r="I666" s="9" t="str" cm="1">
        <f t="array" ref="I666">_xlfn.LET(_xlpm.total,SUM(D666:G666),_xlpm.maxv,MAX(D666:G666),IF(_xlpm.total=0,"",IF(_xlpm.maxv/_xlpm.total&lt;0.5,"Mixed-Class",_xlfn.IFS(_xlpm.maxv=D666,"Assault",_xlpm.maxv=E666,"Engineer",_xlpm.maxv=F666,"Recon",_xlpm.maxv=G666,"Support"))))</f>
        <v/>
      </c>
      <c r="J666" t="str">
        <f t="shared" si="40"/>
        <v/>
      </c>
      <c r="K666" s="10" t="str">
        <f t="shared" si="41"/>
        <v/>
      </c>
    </row>
    <row r="667" spans="2:11" x14ac:dyDescent="0.25">
      <c r="B667">
        <v>6657</v>
      </c>
      <c r="H667">
        <f t="shared" si="39"/>
        <v>0</v>
      </c>
      <c r="I667" s="9" t="str" cm="1">
        <f t="array" ref="I667">_xlfn.LET(_xlpm.total,SUM(D667:G667),_xlpm.maxv,MAX(D667:G667),IF(_xlpm.total=0,"",IF(_xlpm.maxv/_xlpm.total&lt;0.5,"Mixed-Class",_xlfn.IFS(_xlpm.maxv=D667,"Assault",_xlpm.maxv=E667,"Engineer",_xlpm.maxv=F667,"Recon",_xlpm.maxv=G667,"Support"))))</f>
        <v/>
      </c>
      <c r="J667" t="str">
        <f t="shared" si="40"/>
        <v/>
      </c>
      <c r="K667" s="10" t="str">
        <f t="shared" si="41"/>
        <v/>
      </c>
    </row>
    <row r="668" spans="2:11" x14ac:dyDescent="0.25">
      <c r="B668">
        <v>6667</v>
      </c>
      <c r="H668">
        <f t="shared" si="39"/>
        <v>0</v>
      </c>
      <c r="I668" s="9" t="str" cm="1">
        <f t="array" ref="I668">_xlfn.LET(_xlpm.total,SUM(D668:G668),_xlpm.maxv,MAX(D668:G668),IF(_xlpm.total=0,"",IF(_xlpm.maxv/_xlpm.total&lt;0.5,"Mixed-Class",_xlfn.IFS(_xlpm.maxv=D668,"Assault",_xlpm.maxv=E668,"Engineer",_xlpm.maxv=F668,"Recon",_xlpm.maxv=G668,"Support"))))</f>
        <v/>
      </c>
      <c r="J668" t="str">
        <f t="shared" si="40"/>
        <v/>
      </c>
      <c r="K668" s="10" t="str">
        <f t="shared" si="41"/>
        <v/>
      </c>
    </row>
    <row r="669" spans="2:11" x14ac:dyDescent="0.25">
      <c r="B669">
        <v>6677</v>
      </c>
      <c r="H669">
        <f t="shared" si="39"/>
        <v>0</v>
      </c>
      <c r="I669" s="9" t="str" cm="1">
        <f t="array" ref="I669">_xlfn.LET(_xlpm.total,SUM(D669:G669),_xlpm.maxv,MAX(D669:G669),IF(_xlpm.total=0,"",IF(_xlpm.maxv/_xlpm.total&lt;0.5,"Mixed-Class",_xlfn.IFS(_xlpm.maxv=D669,"Assault",_xlpm.maxv=E669,"Engineer",_xlpm.maxv=F669,"Recon",_xlpm.maxv=G669,"Support"))))</f>
        <v/>
      </c>
      <c r="J669" t="str">
        <f t="shared" si="40"/>
        <v/>
      </c>
      <c r="K669" s="10" t="str">
        <f t="shared" si="41"/>
        <v/>
      </c>
    </row>
    <row r="670" spans="2:11" x14ac:dyDescent="0.25">
      <c r="B670">
        <v>6687</v>
      </c>
      <c r="H670">
        <f t="shared" si="39"/>
        <v>0</v>
      </c>
      <c r="I670" s="9" t="str" cm="1">
        <f t="array" ref="I670">_xlfn.LET(_xlpm.total,SUM(D670:G670),_xlpm.maxv,MAX(D670:G670),IF(_xlpm.total=0,"",IF(_xlpm.maxv/_xlpm.total&lt;0.5,"Mixed-Class",_xlfn.IFS(_xlpm.maxv=D670,"Assault",_xlpm.maxv=E670,"Engineer",_xlpm.maxv=F670,"Recon",_xlpm.maxv=G670,"Support"))))</f>
        <v/>
      </c>
      <c r="J670" t="str">
        <f t="shared" si="40"/>
        <v/>
      </c>
      <c r="K670" s="10" t="str">
        <f t="shared" si="41"/>
        <v/>
      </c>
    </row>
    <row r="671" spans="2:11" x14ac:dyDescent="0.25">
      <c r="B671">
        <v>6697</v>
      </c>
      <c r="H671">
        <f t="shared" si="39"/>
        <v>0</v>
      </c>
      <c r="I671" s="9" t="str" cm="1">
        <f t="array" ref="I671">_xlfn.LET(_xlpm.total,SUM(D671:G671),_xlpm.maxv,MAX(D671:G671),IF(_xlpm.total=0,"",IF(_xlpm.maxv/_xlpm.total&lt;0.5,"Mixed-Class",_xlfn.IFS(_xlpm.maxv=D671,"Assault",_xlpm.maxv=E671,"Engineer",_xlpm.maxv=F671,"Recon",_xlpm.maxv=G671,"Support"))))</f>
        <v/>
      </c>
      <c r="J671" t="str">
        <f t="shared" si="40"/>
        <v/>
      </c>
      <c r="K671" s="10" t="str">
        <f t="shared" si="41"/>
        <v/>
      </c>
    </row>
    <row r="672" spans="2:11" x14ac:dyDescent="0.25">
      <c r="B672">
        <v>6707</v>
      </c>
      <c r="H672">
        <f t="shared" si="39"/>
        <v>0</v>
      </c>
      <c r="I672" s="9" t="str" cm="1">
        <f t="array" ref="I672">_xlfn.LET(_xlpm.total,SUM(D672:G672),_xlpm.maxv,MAX(D672:G672),IF(_xlpm.total=0,"",IF(_xlpm.maxv/_xlpm.total&lt;0.5,"Mixed-Class",_xlfn.IFS(_xlpm.maxv=D672,"Assault",_xlpm.maxv=E672,"Engineer",_xlpm.maxv=F672,"Recon",_xlpm.maxv=G672,"Support"))))</f>
        <v/>
      </c>
      <c r="J672" t="str">
        <f t="shared" si="40"/>
        <v/>
      </c>
      <c r="K672" s="10" t="str">
        <f t="shared" si="41"/>
        <v/>
      </c>
    </row>
    <row r="673" spans="2:11" x14ac:dyDescent="0.25">
      <c r="B673">
        <v>6717</v>
      </c>
      <c r="H673">
        <f t="shared" si="39"/>
        <v>0</v>
      </c>
      <c r="I673" s="9" t="str" cm="1">
        <f t="array" ref="I673">_xlfn.LET(_xlpm.total,SUM(D673:G673),_xlpm.maxv,MAX(D673:G673),IF(_xlpm.total=0,"",IF(_xlpm.maxv/_xlpm.total&lt;0.5,"Mixed-Class",_xlfn.IFS(_xlpm.maxv=D673,"Assault",_xlpm.maxv=E673,"Engineer",_xlpm.maxv=F673,"Recon",_xlpm.maxv=G673,"Support"))))</f>
        <v/>
      </c>
      <c r="J673" t="str">
        <f t="shared" si="40"/>
        <v/>
      </c>
      <c r="K673" s="10" t="str">
        <f t="shared" si="41"/>
        <v/>
      </c>
    </row>
    <row r="674" spans="2:11" x14ac:dyDescent="0.25">
      <c r="B674">
        <v>6727</v>
      </c>
      <c r="H674">
        <f t="shared" si="39"/>
        <v>0</v>
      </c>
      <c r="I674" s="9" t="str" cm="1">
        <f t="array" ref="I674">_xlfn.LET(_xlpm.total,SUM(D674:G674),_xlpm.maxv,MAX(D674:G674),IF(_xlpm.total=0,"",IF(_xlpm.maxv/_xlpm.total&lt;0.5,"Mixed-Class",_xlfn.IFS(_xlpm.maxv=D674,"Assault",_xlpm.maxv=E674,"Engineer",_xlpm.maxv=F674,"Recon",_xlpm.maxv=G674,"Support"))))</f>
        <v/>
      </c>
      <c r="J674" t="str">
        <f t="shared" si="40"/>
        <v/>
      </c>
      <c r="K674" s="10" t="str">
        <f t="shared" si="41"/>
        <v/>
      </c>
    </row>
    <row r="675" spans="2:11" x14ac:dyDescent="0.25">
      <c r="B675">
        <v>6737</v>
      </c>
      <c r="H675">
        <f t="shared" si="39"/>
        <v>0</v>
      </c>
      <c r="I675" s="9" t="str" cm="1">
        <f t="array" ref="I675">_xlfn.LET(_xlpm.total,SUM(D675:G675),_xlpm.maxv,MAX(D675:G675),IF(_xlpm.total=0,"",IF(_xlpm.maxv/_xlpm.total&lt;0.5,"Mixed-Class",_xlfn.IFS(_xlpm.maxv=D675,"Assault",_xlpm.maxv=E675,"Engineer",_xlpm.maxv=F675,"Recon",_xlpm.maxv=G675,"Support"))))</f>
        <v/>
      </c>
      <c r="J675" t="str">
        <f t="shared" si="40"/>
        <v/>
      </c>
      <c r="K675" s="10" t="str">
        <f t="shared" si="41"/>
        <v/>
      </c>
    </row>
    <row r="676" spans="2:11" x14ac:dyDescent="0.25">
      <c r="B676">
        <v>6747</v>
      </c>
      <c r="H676">
        <f t="shared" si="39"/>
        <v>0</v>
      </c>
      <c r="I676" s="9" t="str" cm="1">
        <f t="array" ref="I676">_xlfn.LET(_xlpm.total,SUM(D676:G676),_xlpm.maxv,MAX(D676:G676),IF(_xlpm.total=0,"",IF(_xlpm.maxv/_xlpm.total&lt;0.5,"Mixed-Class",_xlfn.IFS(_xlpm.maxv=D676,"Assault",_xlpm.maxv=E676,"Engineer",_xlpm.maxv=F676,"Recon",_xlpm.maxv=G676,"Support"))))</f>
        <v/>
      </c>
      <c r="J676" t="str">
        <f t="shared" si="40"/>
        <v/>
      </c>
      <c r="K676" s="10" t="str">
        <f t="shared" si="41"/>
        <v/>
      </c>
    </row>
    <row r="677" spans="2:11" x14ac:dyDescent="0.25">
      <c r="B677">
        <v>6757</v>
      </c>
      <c r="H677">
        <f t="shared" si="39"/>
        <v>0</v>
      </c>
      <c r="I677" s="9" t="str" cm="1">
        <f t="array" ref="I677">_xlfn.LET(_xlpm.total,SUM(D677:G677),_xlpm.maxv,MAX(D677:G677),IF(_xlpm.total=0,"",IF(_xlpm.maxv/_xlpm.total&lt;0.5,"Mixed-Class",_xlfn.IFS(_xlpm.maxv=D677,"Assault",_xlpm.maxv=E677,"Engineer",_xlpm.maxv=F677,"Recon",_xlpm.maxv=G677,"Support"))))</f>
        <v/>
      </c>
      <c r="J677" t="str">
        <f t="shared" si="40"/>
        <v/>
      </c>
      <c r="K677" s="10" t="str">
        <f t="shared" si="41"/>
        <v/>
      </c>
    </row>
    <row r="678" spans="2:11" x14ac:dyDescent="0.25">
      <c r="B678">
        <v>6767</v>
      </c>
      <c r="H678">
        <f t="shared" si="39"/>
        <v>0</v>
      </c>
      <c r="I678" s="9" t="str" cm="1">
        <f t="array" ref="I678">_xlfn.LET(_xlpm.total,SUM(D678:G678),_xlpm.maxv,MAX(D678:G678),IF(_xlpm.total=0,"",IF(_xlpm.maxv/_xlpm.total&lt;0.5,"Mixed-Class",_xlfn.IFS(_xlpm.maxv=D678,"Assault",_xlpm.maxv=E678,"Engineer",_xlpm.maxv=F678,"Recon",_xlpm.maxv=G678,"Support"))))</f>
        <v/>
      </c>
      <c r="J678" t="str">
        <f t="shared" si="40"/>
        <v/>
      </c>
      <c r="K678" s="10" t="str">
        <f t="shared" si="41"/>
        <v/>
      </c>
    </row>
    <row r="679" spans="2:11" x14ac:dyDescent="0.25">
      <c r="B679">
        <v>6777</v>
      </c>
      <c r="H679">
        <f t="shared" si="39"/>
        <v>0</v>
      </c>
      <c r="I679" s="9" t="str" cm="1">
        <f t="array" ref="I679">_xlfn.LET(_xlpm.total,SUM(D679:G679),_xlpm.maxv,MAX(D679:G679),IF(_xlpm.total=0,"",IF(_xlpm.maxv/_xlpm.total&lt;0.5,"Mixed-Class",_xlfn.IFS(_xlpm.maxv=D679,"Assault",_xlpm.maxv=E679,"Engineer",_xlpm.maxv=F679,"Recon",_xlpm.maxv=G679,"Support"))))</f>
        <v/>
      </c>
      <c r="J679" t="str">
        <f t="shared" si="40"/>
        <v/>
      </c>
      <c r="K679" s="10" t="str">
        <f t="shared" si="41"/>
        <v/>
      </c>
    </row>
    <row r="680" spans="2:11" x14ac:dyDescent="0.25">
      <c r="B680">
        <v>6787</v>
      </c>
      <c r="H680">
        <f t="shared" si="39"/>
        <v>0</v>
      </c>
      <c r="I680" s="9" t="str" cm="1">
        <f t="array" ref="I680">_xlfn.LET(_xlpm.total,SUM(D680:G680),_xlpm.maxv,MAX(D680:G680),IF(_xlpm.total=0,"",IF(_xlpm.maxv/_xlpm.total&lt;0.5,"Mixed-Class",_xlfn.IFS(_xlpm.maxv=D680,"Assault",_xlpm.maxv=E680,"Engineer",_xlpm.maxv=F680,"Recon",_xlpm.maxv=G680,"Support"))))</f>
        <v/>
      </c>
      <c r="J680" t="str">
        <f t="shared" si="40"/>
        <v/>
      </c>
      <c r="K680" s="10" t="str">
        <f t="shared" si="41"/>
        <v/>
      </c>
    </row>
    <row r="681" spans="2:11" x14ac:dyDescent="0.25">
      <c r="B681">
        <v>6797</v>
      </c>
      <c r="H681">
        <f t="shared" si="39"/>
        <v>0</v>
      </c>
      <c r="I681" s="9" t="str" cm="1">
        <f t="array" ref="I681">_xlfn.LET(_xlpm.total,SUM(D681:G681),_xlpm.maxv,MAX(D681:G681),IF(_xlpm.total=0,"",IF(_xlpm.maxv/_xlpm.total&lt;0.5,"Mixed-Class",_xlfn.IFS(_xlpm.maxv=D681,"Assault",_xlpm.maxv=E681,"Engineer",_xlpm.maxv=F681,"Recon",_xlpm.maxv=G681,"Support"))))</f>
        <v/>
      </c>
      <c r="J681" t="str">
        <f t="shared" si="40"/>
        <v/>
      </c>
      <c r="K681" s="10" t="str">
        <f t="shared" si="41"/>
        <v/>
      </c>
    </row>
    <row r="682" spans="2:11" x14ac:dyDescent="0.25">
      <c r="B682">
        <v>6807</v>
      </c>
      <c r="H682">
        <f t="shared" si="39"/>
        <v>0</v>
      </c>
      <c r="I682" s="9" t="str" cm="1">
        <f t="array" ref="I682">_xlfn.LET(_xlpm.total,SUM(D682:G682),_xlpm.maxv,MAX(D682:G682),IF(_xlpm.total=0,"",IF(_xlpm.maxv/_xlpm.total&lt;0.5,"Mixed-Class",_xlfn.IFS(_xlpm.maxv=D682,"Assault",_xlpm.maxv=E682,"Engineer",_xlpm.maxv=F682,"Recon",_xlpm.maxv=G682,"Support"))))</f>
        <v/>
      </c>
      <c r="J682" t="str">
        <f t="shared" si="40"/>
        <v/>
      </c>
      <c r="K682" s="10" t="str">
        <f t="shared" si="41"/>
        <v/>
      </c>
    </row>
    <row r="683" spans="2:11" x14ac:dyDescent="0.25">
      <c r="B683">
        <v>6817</v>
      </c>
      <c r="H683">
        <f t="shared" si="39"/>
        <v>0</v>
      </c>
      <c r="I683" s="9" t="str" cm="1">
        <f t="array" ref="I683">_xlfn.LET(_xlpm.total,SUM(D683:G683),_xlpm.maxv,MAX(D683:G683),IF(_xlpm.total=0,"",IF(_xlpm.maxv/_xlpm.total&lt;0.5,"Mixed-Class",_xlfn.IFS(_xlpm.maxv=D683,"Assault",_xlpm.maxv=E683,"Engineer",_xlpm.maxv=F683,"Recon",_xlpm.maxv=G683,"Support"))))</f>
        <v/>
      </c>
      <c r="J683" t="str">
        <f t="shared" si="40"/>
        <v/>
      </c>
      <c r="K683" s="10" t="str">
        <f t="shared" si="41"/>
        <v/>
      </c>
    </row>
    <row r="684" spans="2:11" x14ac:dyDescent="0.25">
      <c r="B684">
        <v>6827</v>
      </c>
      <c r="H684">
        <f t="shared" si="39"/>
        <v>0</v>
      </c>
      <c r="I684" s="9" t="str" cm="1">
        <f t="array" ref="I684">_xlfn.LET(_xlpm.total,SUM(D684:G684),_xlpm.maxv,MAX(D684:G684),IF(_xlpm.total=0,"",IF(_xlpm.maxv/_xlpm.total&lt;0.5,"Mixed-Class",_xlfn.IFS(_xlpm.maxv=D684,"Assault",_xlpm.maxv=E684,"Engineer",_xlpm.maxv=F684,"Recon",_xlpm.maxv=G684,"Support"))))</f>
        <v/>
      </c>
      <c r="J684" t="str">
        <f t="shared" si="40"/>
        <v/>
      </c>
      <c r="K684" s="10" t="str">
        <f t="shared" si="41"/>
        <v/>
      </c>
    </row>
    <row r="685" spans="2:11" x14ac:dyDescent="0.25">
      <c r="B685">
        <v>6837</v>
      </c>
      <c r="H685">
        <f t="shared" si="39"/>
        <v>0</v>
      </c>
      <c r="I685" s="9" t="str" cm="1">
        <f t="array" ref="I685">_xlfn.LET(_xlpm.total,SUM(D685:G685),_xlpm.maxv,MAX(D685:G685),IF(_xlpm.total=0,"",IF(_xlpm.maxv/_xlpm.total&lt;0.5,"Mixed-Class",_xlfn.IFS(_xlpm.maxv=D685,"Assault",_xlpm.maxv=E685,"Engineer",_xlpm.maxv=F685,"Recon",_xlpm.maxv=G685,"Support"))))</f>
        <v/>
      </c>
      <c r="J685" t="str">
        <f t="shared" si="40"/>
        <v/>
      </c>
      <c r="K685" s="10" t="str">
        <f t="shared" si="41"/>
        <v/>
      </c>
    </row>
    <row r="686" spans="2:11" x14ac:dyDescent="0.25">
      <c r="B686">
        <v>6847</v>
      </c>
      <c r="H686">
        <f t="shared" si="39"/>
        <v>0</v>
      </c>
      <c r="I686" s="9" t="str" cm="1">
        <f t="array" ref="I686">_xlfn.LET(_xlpm.total,SUM(D686:G686),_xlpm.maxv,MAX(D686:G686),IF(_xlpm.total=0,"",IF(_xlpm.maxv/_xlpm.total&lt;0.5,"Mixed-Class",_xlfn.IFS(_xlpm.maxv=D686,"Assault",_xlpm.maxv=E686,"Engineer",_xlpm.maxv=F686,"Recon",_xlpm.maxv=G686,"Support"))))</f>
        <v/>
      </c>
      <c r="J686" t="str">
        <f t="shared" si="40"/>
        <v/>
      </c>
      <c r="K686" s="10" t="str">
        <f t="shared" si="41"/>
        <v/>
      </c>
    </row>
    <row r="687" spans="2:11" x14ac:dyDescent="0.25">
      <c r="B687">
        <v>6857</v>
      </c>
      <c r="H687">
        <f t="shared" si="39"/>
        <v>0</v>
      </c>
      <c r="I687" s="9" t="str" cm="1">
        <f t="array" ref="I687">_xlfn.LET(_xlpm.total,SUM(D687:G687),_xlpm.maxv,MAX(D687:G687),IF(_xlpm.total=0,"",IF(_xlpm.maxv/_xlpm.total&lt;0.5,"Mixed-Class",_xlfn.IFS(_xlpm.maxv=D687,"Assault",_xlpm.maxv=E687,"Engineer",_xlpm.maxv=F687,"Recon",_xlpm.maxv=G687,"Support"))))</f>
        <v/>
      </c>
      <c r="J687" t="str">
        <f t="shared" si="40"/>
        <v/>
      </c>
      <c r="K687" s="10" t="str">
        <f t="shared" si="41"/>
        <v/>
      </c>
    </row>
    <row r="688" spans="2:11" x14ac:dyDescent="0.25">
      <c r="B688">
        <v>6867</v>
      </c>
      <c r="H688">
        <f t="shared" si="39"/>
        <v>0</v>
      </c>
      <c r="I688" s="9" t="str" cm="1">
        <f t="array" ref="I688">_xlfn.LET(_xlpm.total,SUM(D688:G688),_xlpm.maxv,MAX(D688:G688),IF(_xlpm.total=0,"",IF(_xlpm.maxv/_xlpm.total&lt;0.5,"Mixed-Class",_xlfn.IFS(_xlpm.maxv=D688,"Assault",_xlpm.maxv=E688,"Engineer",_xlpm.maxv=F688,"Recon",_xlpm.maxv=G688,"Support"))))</f>
        <v/>
      </c>
      <c r="J688" t="str">
        <f t="shared" si="40"/>
        <v/>
      </c>
      <c r="K688" s="10" t="str">
        <f t="shared" si="41"/>
        <v/>
      </c>
    </row>
    <row r="689" spans="2:11" x14ac:dyDescent="0.25">
      <c r="B689">
        <v>6877</v>
      </c>
      <c r="H689">
        <f t="shared" si="39"/>
        <v>0</v>
      </c>
      <c r="I689" s="9" t="str" cm="1">
        <f t="array" ref="I689">_xlfn.LET(_xlpm.total,SUM(D689:G689),_xlpm.maxv,MAX(D689:G689),IF(_xlpm.total=0,"",IF(_xlpm.maxv/_xlpm.total&lt;0.5,"Mixed-Class",_xlfn.IFS(_xlpm.maxv=D689,"Assault",_xlpm.maxv=E689,"Engineer",_xlpm.maxv=F689,"Recon",_xlpm.maxv=G689,"Support"))))</f>
        <v/>
      </c>
      <c r="J689" t="str">
        <f t="shared" si="40"/>
        <v/>
      </c>
      <c r="K689" s="10" t="str">
        <f t="shared" si="41"/>
        <v/>
      </c>
    </row>
    <row r="690" spans="2:11" x14ac:dyDescent="0.25">
      <c r="B690">
        <v>6887</v>
      </c>
      <c r="H690">
        <f t="shared" si="39"/>
        <v>0</v>
      </c>
      <c r="I690" s="9" t="str" cm="1">
        <f t="array" ref="I690">_xlfn.LET(_xlpm.total,SUM(D690:G690),_xlpm.maxv,MAX(D690:G690),IF(_xlpm.total=0,"",IF(_xlpm.maxv/_xlpm.total&lt;0.5,"Mixed-Class",_xlfn.IFS(_xlpm.maxv=D690,"Assault",_xlpm.maxv=E690,"Engineer",_xlpm.maxv=F690,"Recon",_xlpm.maxv=G690,"Support"))))</f>
        <v/>
      </c>
      <c r="J690" t="str">
        <f t="shared" si="40"/>
        <v/>
      </c>
      <c r="K690" s="10" t="str">
        <f t="shared" si="41"/>
        <v/>
      </c>
    </row>
    <row r="691" spans="2:11" x14ac:dyDescent="0.25">
      <c r="B691">
        <v>6897</v>
      </c>
      <c r="H691">
        <f t="shared" si="39"/>
        <v>0</v>
      </c>
      <c r="I691" s="9" t="str" cm="1">
        <f t="array" ref="I691">_xlfn.LET(_xlpm.total,SUM(D691:G691),_xlpm.maxv,MAX(D691:G691),IF(_xlpm.total=0,"",IF(_xlpm.maxv/_xlpm.total&lt;0.5,"Mixed-Class",_xlfn.IFS(_xlpm.maxv=D691,"Assault",_xlpm.maxv=E691,"Engineer",_xlpm.maxv=F691,"Recon",_xlpm.maxv=G691,"Support"))))</f>
        <v/>
      </c>
      <c r="J691" t="str">
        <f t="shared" si="40"/>
        <v/>
      </c>
      <c r="K691" s="10" t="str">
        <f t="shared" si="41"/>
        <v/>
      </c>
    </row>
    <row r="692" spans="2:11" x14ac:dyDescent="0.25">
      <c r="B692">
        <v>6907</v>
      </c>
      <c r="H692">
        <f t="shared" si="39"/>
        <v>0</v>
      </c>
      <c r="I692" s="9" t="str" cm="1">
        <f t="array" ref="I692">_xlfn.LET(_xlpm.total,SUM(D692:G692),_xlpm.maxv,MAX(D692:G692),IF(_xlpm.total=0,"",IF(_xlpm.maxv/_xlpm.total&lt;0.5,"Mixed-Class",_xlfn.IFS(_xlpm.maxv=D692,"Assault",_xlpm.maxv=E692,"Engineer",_xlpm.maxv=F692,"Recon",_xlpm.maxv=G692,"Support"))))</f>
        <v/>
      </c>
      <c r="J692" t="str">
        <f t="shared" si="40"/>
        <v/>
      </c>
      <c r="K692" s="10" t="str">
        <f t="shared" si="41"/>
        <v/>
      </c>
    </row>
    <row r="693" spans="2:11" x14ac:dyDescent="0.25">
      <c r="B693">
        <v>6917</v>
      </c>
      <c r="H693">
        <f t="shared" si="39"/>
        <v>0</v>
      </c>
      <c r="I693" s="9" t="str" cm="1">
        <f t="array" ref="I693">_xlfn.LET(_xlpm.total,SUM(D693:G693),_xlpm.maxv,MAX(D693:G693),IF(_xlpm.total=0,"",IF(_xlpm.maxv/_xlpm.total&lt;0.5,"Mixed-Class",_xlfn.IFS(_xlpm.maxv=D693,"Assault",_xlpm.maxv=E693,"Engineer",_xlpm.maxv=F693,"Recon",_xlpm.maxv=G693,"Support"))))</f>
        <v/>
      </c>
      <c r="J693" t="str">
        <f t="shared" si="40"/>
        <v/>
      </c>
      <c r="K693" s="10" t="str">
        <f t="shared" si="41"/>
        <v/>
      </c>
    </row>
    <row r="694" spans="2:11" x14ac:dyDescent="0.25">
      <c r="B694">
        <v>6927</v>
      </c>
      <c r="H694">
        <f t="shared" si="39"/>
        <v>0</v>
      </c>
      <c r="I694" s="9" t="str" cm="1">
        <f t="array" ref="I694">_xlfn.LET(_xlpm.total,SUM(D694:G694),_xlpm.maxv,MAX(D694:G694),IF(_xlpm.total=0,"",IF(_xlpm.maxv/_xlpm.total&lt;0.5,"Mixed-Class",_xlfn.IFS(_xlpm.maxv=D694,"Assault",_xlpm.maxv=E694,"Engineer",_xlpm.maxv=F694,"Recon",_xlpm.maxv=G694,"Support"))))</f>
        <v/>
      </c>
      <c r="J694" t="str">
        <f t="shared" si="40"/>
        <v/>
      </c>
      <c r="K694" s="10" t="str">
        <f t="shared" si="41"/>
        <v/>
      </c>
    </row>
    <row r="695" spans="2:11" x14ac:dyDescent="0.25">
      <c r="B695">
        <v>6937</v>
      </c>
      <c r="H695">
        <f t="shared" si="39"/>
        <v>0</v>
      </c>
      <c r="I695" s="9" t="str" cm="1">
        <f t="array" ref="I695">_xlfn.LET(_xlpm.total,SUM(D695:G695),_xlpm.maxv,MAX(D695:G695),IF(_xlpm.total=0,"",IF(_xlpm.maxv/_xlpm.total&lt;0.5,"Mixed-Class",_xlfn.IFS(_xlpm.maxv=D695,"Assault",_xlpm.maxv=E695,"Engineer",_xlpm.maxv=F695,"Recon",_xlpm.maxv=G695,"Support"))))</f>
        <v/>
      </c>
      <c r="J695" t="str">
        <f t="shared" si="40"/>
        <v/>
      </c>
      <c r="K695" s="10" t="str">
        <f t="shared" si="41"/>
        <v/>
      </c>
    </row>
    <row r="696" spans="2:11" x14ac:dyDescent="0.25">
      <c r="B696">
        <v>6947</v>
      </c>
      <c r="H696">
        <f t="shared" si="39"/>
        <v>0</v>
      </c>
      <c r="I696" s="9" t="str" cm="1">
        <f t="array" ref="I696">_xlfn.LET(_xlpm.total,SUM(D696:G696),_xlpm.maxv,MAX(D696:G696),IF(_xlpm.total=0,"",IF(_xlpm.maxv/_xlpm.total&lt;0.5,"Mixed-Class",_xlfn.IFS(_xlpm.maxv=D696,"Assault",_xlpm.maxv=E696,"Engineer",_xlpm.maxv=F696,"Recon",_xlpm.maxv=G696,"Support"))))</f>
        <v/>
      </c>
      <c r="J696" t="str">
        <f t="shared" si="40"/>
        <v/>
      </c>
      <c r="K696" s="10" t="str">
        <f t="shared" si="41"/>
        <v/>
      </c>
    </row>
    <row r="697" spans="2:11" x14ac:dyDescent="0.25">
      <c r="B697">
        <v>6957</v>
      </c>
      <c r="H697">
        <f t="shared" si="39"/>
        <v>0</v>
      </c>
      <c r="I697" s="9" t="str" cm="1">
        <f t="array" ref="I697">_xlfn.LET(_xlpm.total,SUM(D697:G697),_xlpm.maxv,MAX(D697:G697),IF(_xlpm.total=0,"",IF(_xlpm.maxv/_xlpm.total&lt;0.5,"Mixed-Class",_xlfn.IFS(_xlpm.maxv=D697,"Assault",_xlpm.maxv=E697,"Engineer",_xlpm.maxv=F697,"Recon",_xlpm.maxv=G697,"Support"))))</f>
        <v/>
      </c>
      <c r="J697" t="str">
        <f t="shared" si="40"/>
        <v/>
      </c>
      <c r="K697" s="10" t="str">
        <f t="shared" si="41"/>
        <v/>
      </c>
    </row>
    <row r="698" spans="2:11" x14ac:dyDescent="0.25">
      <c r="B698">
        <v>6967</v>
      </c>
      <c r="H698">
        <f t="shared" si="39"/>
        <v>0</v>
      </c>
      <c r="I698" s="9" t="str" cm="1">
        <f t="array" ref="I698">_xlfn.LET(_xlpm.total,SUM(D698:G698),_xlpm.maxv,MAX(D698:G698),IF(_xlpm.total=0,"",IF(_xlpm.maxv/_xlpm.total&lt;0.5,"Mixed-Class",_xlfn.IFS(_xlpm.maxv=D698,"Assault",_xlpm.maxv=E698,"Engineer",_xlpm.maxv=F698,"Recon",_xlpm.maxv=G698,"Support"))))</f>
        <v/>
      </c>
      <c r="J698" t="str">
        <f t="shared" si="40"/>
        <v/>
      </c>
      <c r="K698" s="10" t="str">
        <f t="shared" si="41"/>
        <v/>
      </c>
    </row>
    <row r="699" spans="2:11" x14ac:dyDescent="0.25">
      <c r="B699">
        <v>6977</v>
      </c>
      <c r="H699">
        <f t="shared" si="39"/>
        <v>0</v>
      </c>
      <c r="I699" s="9" t="str" cm="1">
        <f t="array" ref="I699">_xlfn.LET(_xlpm.total,SUM(D699:G699),_xlpm.maxv,MAX(D699:G699),IF(_xlpm.total=0,"",IF(_xlpm.maxv/_xlpm.total&lt;0.5,"Mixed-Class",_xlfn.IFS(_xlpm.maxv=D699,"Assault",_xlpm.maxv=E699,"Engineer",_xlpm.maxv=F699,"Recon",_xlpm.maxv=G699,"Support"))))</f>
        <v/>
      </c>
      <c r="J699" t="str">
        <f t="shared" si="40"/>
        <v/>
      </c>
      <c r="K699" s="10" t="str">
        <f t="shared" si="41"/>
        <v/>
      </c>
    </row>
    <row r="700" spans="2:11" x14ac:dyDescent="0.25">
      <c r="B700">
        <v>6987</v>
      </c>
      <c r="H700">
        <f t="shared" si="39"/>
        <v>0</v>
      </c>
      <c r="I700" s="9" t="str" cm="1">
        <f t="array" ref="I700">_xlfn.LET(_xlpm.total,SUM(D700:G700),_xlpm.maxv,MAX(D700:G700),IF(_xlpm.total=0,"",IF(_xlpm.maxv/_xlpm.total&lt;0.5,"Mixed-Class",_xlfn.IFS(_xlpm.maxv=D700,"Assault",_xlpm.maxv=E700,"Engineer",_xlpm.maxv=F700,"Recon",_xlpm.maxv=G700,"Support"))))</f>
        <v/>
      </c>
      <c r="J700" t="str">
        <f t="shared" si="40"/>
        <v/>
      </c>
      <c r="K700" s="10" t="str">
        <f t="shared" si="41"/>
        <v/>
      </c>
    </row>
    <row r="701" spans="2:11" x14ac:dyDescent="0.25">
      <c r="B701">
        <v>6997</v>
      </c>
      <c r="H701">
        <f t="shared" si="39"/>
        <v>0</v>
      </c>
      <c r="I701" s="9" t="str" cm="1">
        <f t="array" ref="I701">_xlfn.LET(_xlpm.total,SUM(D701:G701),_xlpm.maxv,MAX(D701:G701),IF(_xlpm.total=0,"",IF(_xlpm.maxv/_xlpm.total&lt;0.5,"Mixed-Class",_xlfn.IFS(_xlpm.maxv=D701,"Assault",_xlpm.maxv=E701,"Engineer",_xlpm.maxv=F701,"Recon",_xlpm.maxv=G701,"Support"))))</f>
        <v/>
      </c>
      <c r="J701" t="str">
        <f t="shared" si="40"/>
        <v/>
      </c>
      <c r="K701" s="10" t="str">
        <f t="shared" si="41"/>
        <v/>
      </c>
    </row>
    <row r="702" spans="2:11" x14ac:dyDescent="0.25">
      <c r="B702">
        <v>7007</v>
      </c>
      <c r="H702">
        <f t="shared" si="39"/>
        <v>0</v>
      </c>
      <c r="I702" s="9" t="str" cm="1">
        <f t="array" ref="I702">_xlfn.LET(_xlpm.total,SUM(D702:G702),_xlpm.maxv,MAX(D702:G702),IF(_xlpm.total=0,"",IF(_xlpm.maxv/_xlpm.total&lt;0.5,"Mixed-Class",_xlfn.IFS(_xlpm.maxv=D702,"Assault",_xlpm.maxv=E702,"Engineer",_xlpm.maxv=F702,"Recon",_xlpm.maxv=G702,"Support"))))</f>
        <v/>
      </c>
      <c r="J702" t="str">
        <f t="shared" si="40"/>
        <v/>
      </c>
      <c r="K702" s="10" t="str">
        <f t="shared" si="41"/>
        <v/>
      </c>
    </row>
    <row r="703" spans="2:11" x14ac:dyDescent="0.25">
      <c r="B703">
        <v>7017</v>
      </c>
      <c r="H703">
        <f t="shared" si="39"/>
        <v>0</v>
      </c>
      <c r="I703" s="9" t="str" cm="1">
        <f t="array" ref="I703">_xlfn.LET(_xlpm.total,SUM(D703:G703),_xlpm.maxv,MAX(D703:G703),IF(_xlpm.total=0,"",IF(_xlpm.maxv/_xlpm.total&lt;0.5,"Mixed-Class",_xlfn.IFS(_xlpm.maxv=D703,"Assault",_xlpm.maxv=E703,"Engineer",_xlpm.maxv=F703,"Recon",_xlpm.maxv=G703,"Support"))))</f>
        <v/>
      </c>
      <c r="J703" t="str">
        <f t="shared" si="40"/>
        <v/>
      </c>
      <c r="K703" s="10" t="str">
        <f t="shared" si="41"/>
        <v/>
      </c>
    </row>
    <row r="704" spans="2:11" x14ac:dyDescent="0.25">
      <c r="B704">
        <v>7027</v>
      </c>
      <c r="H704">
        <f t="shared" si="39"/>
        <v>0</v>
      </c>
      <c r="I704" s="9" t="str" cm="1">
        <f t="array" ref="I704">_xlfn.LET(_xlpm.total,SUM(D704:G704),_xlpm.maxv,MAX(D704:G704),IF(_xlpm.total=0,"",IF(_xlpm.maxv/_xlpm.total&lt;0.5,"Mixed-Class",_xlfn.IFS(_xlpm.maxv=D704,"Assault",_xlpm.maxv=E704,"Engineer",_xlpm.maxv=F704,"Recon",_xlpm.maxv=G704,"Support"))))</f>
        <v/>
      </c>
      <c r="J704" t="str">
        <f t="shared" si="40"/>
        <v/>
      </c>
      <c r="K704" s="10" t="str">
        <f t="shared" si="41"/>
        <v/>
      </c>
    </row>
    <row r="705" spans="2:11" x14ac:dyDescent="0.25">
      <c r="B705">
        <v>7037</v>
      </c>
      <c r="H705">
        <f t="shared" si="39"/>
        <v>0</v>
      </c>
      <c r="I705" s="9" t="str" cm="1">
        <f t="array" ref="I705">_xlfn.LET(_xlpm.total,SUM(D705:G705),_xlpm.maxv,MAX(D705:G705),IF(_xlpm.total=0,"",IF(_xlpm.maxv/_xlpm.total&lt;0.5,"Mixed-Class",_xlfn.IFS(_xlpm.maxv=D705,"Assault",_xlpm.maxv=E705,"Engineer",_xlpm.maxv=F705,"Recon",_xlpm.maxv=G705,"Support"))))</f>
        <v/>
      </c>
      <c r="J705" t="str">
        <f t="shared" si="40"/>
        <v/>
      </c>
      <c r="K705" s="10" t="str">
        <f t="shared" si="41"/>
        <v/>
      </c>
    </row>
    <row r="706" spans="2:11" x14ac:dyDescent="0.25">
      <c r="B706">
        <v>7047</v>
      </c>
      <c r="H706">
        <f t="shared" si="39"/>
        <v>0</v>
      </c>
      <c r="I706" s="9" t="str" cm="1">
        <f t="array" ref="I706">_xlfn.LET(_xlpm.total,SUM(D706:G706),_xlpm.maxv,MAX(D706:G706),IF(_xlpm.total=0,"",IF(_xlpm.maxv/_xlpm.total&lt;0.5,"Mixed-Class",_xlfn.IFS(_xlpm.maxv=D706,"Assault",_xlpm.maxv=E706,"Engineer",_xlpm.maxv=F706,"Recon",_xlpm.maxv=G706,"Support"))))</f>
        <v/>
      </c>
      <c r="J706" t="str">
        <f t="shared" si="40"/>
        <v/>
      </c>
      <c r="K706" s="10" t="str">
        <f t="shared" si="41"/>
        <v/>
      </c>
    </row>
    <row r="707" spans="2:11" x14ac:dyDescent="0.25">
      <c r="B707">
        <v>7057</v>
      </c>
      <c r="H707">
        <f t="shared" ref="H707:H770" si="42">SUM(D707:G707)</f>
        <v>0</v>
      </c>
      <c r="I707" s="9" t="str" cm="1">
        <f t="array" ref="I707">_xlfn.LET(_xlpm.total,SUM(D707:G707),_xlpm.maxv,MAX(D707:G707),IF(_xlpm.total=0,"",IF(_xlpm.maxv/_xlpm.total&lt;0.5,"Mixed-Class",_xlfn.IFS(_xlpm.maxv=D707,"Assault",_xlpm.maxv=E707,"Engineer",_xlpm.maxv=F707,"Recon",_xlpm.maxv=G707,"Support"))))</f>
        <v/>
      </c>
      <c r="J707" t="str">
        <f t="shared" ref="J707:J770" si="43">_xlfn.LET(_xlpm.total,SUM(D707:G707),IF(_xlpm.total=0,"",MAX(D707:G707)/_xlpm.total&gt;=0.5))</f>
        <v/>
      </c>
      <c r="K707" s="10" t="str">
        <f t="shared" ref="K707:K770" si="44">_xlfn.LET(_xlpm.total,SUM(D707:G707),IF(_xlpm.total=0,"",MAX(D707:G707)/_xlpm.total))</f>
        <v/>
      </c>
    </row>
    <row r="708" spans="2:11" x14ac:dyDescent="0.25">
      <c r="B708">
        <v>7067</v>
      </c>
      <c r="H708">
        <f t="shared" si="42"/>
        <v>0</v>
      </c>
      <c r="I708" s="9" t="str" cm="1">
        <f t="array" ref="I708">_xlfn.LET(_xlpm.total,SUM(D708:G708),_xlpm.maxv,MAX(D708:G708),IF(_xlpm.total=0,"",IF(_xlpm.maxv/_xlpm.total&lt;0.5,"Mixed-Class",_xlfn.IFS(_xlpm.maxv=D708,"Assault",_xlpm.maxv=E708,"Engineer",_xlpm.maxv=F708,"Recon",_xlpm.maxv=G708,"Support"))))</f>
        <v/>
      </c>
      <c r="J708" t="str">
        <f t="shared" si="43"/>
        <v/>
      </c>
      <c r="K708" s="10" t="str">
        <f t="shared" si="44"/>
        <v/>
      </c>
    </row>
    <row r="709" spans="2:11" x14ac:dyDescent="0.25">
      <c r="B709">
        <v>7077</v>
      </c>
      <c r="H709">
        <f t="shared" si="42"/>
        <v>0</v>
      </c>
      <c r="I709" s="9" t="str" cm="1">
        <f t="array" ref="I709">_xlfn.LET(_xlpm.total,SUM(D709:G709),_xlpm.maxv,MAX(D709:G709),IF(_xlpm.total=0,"",IF(_xlpm.maxv/_xlpm.total&lt;0.5,"Mixed-Class",_xlfn.IFS(_xlpm.maxv=D709,"Assault",_xlpm.maxv=E709,"Engineer",_xlpm.maxv=F709,"Recon",_xlpm.maxv=G709,"Support"))))</f>
        <v/>
      </c>
      <c r="J709" t="str">
        <f t="shared" si="43"/>
        <v/>
      </c>
      <c r="K709" s="10" t="str">
        <f t="shared" si="44"/>
        <v/>
      </c>
    </row>
    <row r="710" spans="2:11" x14ac:dyDescent="0.25">
      <c r="B710">
        <v>7087</v>
      </c>
      <c r="H710">
        <f t="shared" si="42"/>
        <v>0</v>
      </c>
      <c r="I710" s="9" t="str" cm="1">
        <f t="array" ref="I710">_xlfn.LET(_xlpm.total,SUM(D710:G710),_xlpm.maxv,MAX(D710:G710),IF(_xlpm.total=0,"",IF(_xlpm.maxv/_xlpm.total&lt;0.5,"Mixed-Class",_xlfn.IFS(_xlpm.maxv=D710,"Assault",_xlpm.maxv=E710,"Engineer",_xlpm.maxv=F710,"Recon",_xlpm.maxv=G710,"Support"))))</f>
        <v/>
      </c>
      <c r="J710" t="str">
        <f t="shared" si="43"/>
        <v/>
      </c>
      <c r="K710" s="10" t="str">
        <f t="shared" si="44"/>
        <v/>
      </c>
    </row>
    <row r="711" spans="2:11" x14ac:dyDescent="0.25">
      <c r="B711">
        <v>7097</v>
      </c>
      <c r="H711">
        <f t="shared" si="42"/>
        <v>0</v>
      </c>
      <c r="I711" s="9" t="str" cm="1">
        <f t="array" ref="I711">_xlfn.LET(_xlpm.total,SUM(D711:G711),_xlpm.maxv,MAX(D711:G711),IF(_xlpm.total=0,"",IF(_xlpm.maxv/_xlpm.total&lt;0.5,"Mixed-Class",_xlfn.IFS(_xlpm.maxv=D711,"Assault",_xlpm.maxv=E711,"Engineer",_xlpm.maxv=F711,"Recon",_xlpm.maxv=G711,"Support"))))</f>
        <v/>
      </c>
      <c r="J711" t="str">
        <f t="shared" si="43"/>
        <v/>
      </c>
      <c r="K711" s="10" t="str">
        <f t="shared" si="44"/>
        <v/>
      </c>
    </row>
    <row r="712" spans="2:11" x14ac:dyDescent="0.25">
      <c r="B712">
        <v>7107</v>
      </c>
      <c r="H712">
        <f t="shared" si="42"/>
        <v>0</v>
      </c>
      <c r="I712" s="9" t="str" cm="1">
        <f t="array" ref="I712">_xlfn.LET(_xlpm.total,SUM(D712:G712),_xlpm.maxv,MAX(D712:G712),IF(_xlpm.total=0,"",IF(_xlpm.maxv/_xlpm.total&lt;0.5,"Mixed-Class",_xlfn.IFS(_xlpm.maxv=D712,"Assault",_xlpm.maxv=E712,"Engineer",_xlpm.maxv=F712,"Recon",_xlpm.maxv=G712,"Support"))))</f>
        <v/>
      </c>
      <c r="J712" t="str">
        <f t="shared" si="43"/>
        <v/>
      </c>
      <c r="K712" s="10" t="str">
        <f t="shared" si="44"/>
        <v/>
      </c>
    </row>
    <row r="713" spans="2:11" x14ac:dyDescent="0.25">
      <c r="B713">
        <v>7117</v>
      </c>
      <c r="H713">
        <f t="shared" si="42"/>
        <v>0</v>
      </c>
      <c r="I713" s="9" t="str" cm="1">
        <f t="array" ref="I713">_xlfn.LET(_xlpm.total,SUM(D713:G713),_xlpm.maxv,MAX(D713:G713),IF(_xlpm.total=0,"",IF(_xlpm.maxv/_xlpm.total&lt;0.5,"Mixed-Class",_xlfn.IFS(_xlpm.maxv=D713,"Assault",_xlpm.maxv=E713,"Engineer",_xlpm.maxv=F713,"Recon",_xlpm.maxv=G713,"Support"))))</f>
        <v/>
      </c>
      <c r="J713" t="str">
        <f t="shared" si="43"/>
        <v/>
      </c>
      <c r="K713" s="10" t="str">
        <f t="shared" si="44"/>
        <v/>
      </c>
    </row>
    <row r="714" spans="2:11" x14ac:dyDescent="0.25">
      <c r="B714">
        <v>7127</v>
      </c>
      <c r="H714">
        <f t="shared" si="42"/>
        <v>0</v>
      </c>
      <c r="I714" s="9" t="str" cm="1">
        <f t="array" ref="I714">_xlfn.LET(_xlpm.total,SUM(D714:G714),_xlpm.maxv,MAX(D714:G714),IF(_xlpm.total=0,"",IF(_xlpm.maxv/_xlpm.total&lt;0.5,"Mixed-Class",_xlfn.IFS(_xlpm.maxv=D714,"Assault",_xlpm.maxv=E714,"Engineer",_xlpm.maxv=F714,"Recon",_xlpm.maxv=G714,"Support"))))</f>
        <v/>
      </c>
      <c r="J714" t="str">
        <f t="shared" si="43"/>
        <v/>
      </c>
      <c r="K714" s="10" t="str">
        <f t="shared" si="44"/>
        <v/>
      </c>
    </row>
    <row r="715" spans="2:11" x14ac:dyDescent="0.25">
      <c r="B715">
        <v>7137</v>
      </c>
      <c r="H715">
        <f t="shared" si="42"/>
        <v>0</v>
      </c>
      <c r="I715" s="9" t="str" cm="1">
        <f t="array" ref="I715">_xlfn.LET(_xlpm.total,SUM(D715:G715),_xlpm.maxv,MAX(D715:G715),IF(_xlpm.total=0,"",IF(_xlpm.maxv/_xlpm.total&lt;0.5,"Mixed-Class",_xlfn.IFS(_xlpm.maxv=D715,"Assault",_xlpm.maxv=E715,"Engineer",_xlpm.maxv=F715,"Recon",_xlpm.maxv=G715,"Support"))))</f>
        <v/>
      </c>
      <c r="J715" t="str">
        <f t="shared" si="43"/>
        <v/>
      </c>
      <c r="K715" s="10" t="str">
        <f t="shared" si="44"/>
        <v/>
      </c>
    </row>
    <row r="716" spans="2:11" x14ac:dyDescent="0.25">
      <c r="B716">
        <v>7147</v>
      </c>
      <c r="H716">
        <f t="shared" si="42"/>
        <v>0</v>
      </c>
      <c r="I716" s="9" t="str" cm="1">
        <f t="array" ref="I716">_xlfn.LET(_xlpm.total,SUM(D716:G716),_xlpm.maxv,MAX(D716:G716),IF(_xlpm.total=0,"",IF(_xlpm.maxv/_xlpm.total&lt;0.5,"Mixed-Class",_xlfn.IFS(_xlpm.maxv=D716,"Assault",_xlpm.maxv=E716,"Engineer",_xlpm.maxv=F716,"Recon",_xlpm.maxv=G716,"Support"))))</f>
        <v/>
      </c>
      <c r="J716" t="str">
        <f t="shared" si="43"/>
        <v/>
      </c>
      <c r="K716" s="10" t="str">
        <f t="shared" si="44"/>
        <v/>
      </c>
    </row>
    <row r="717" spans="2:11" x14ac:dyDescent="0.25">
      <c r="B717">
        <v>7157</v>
      </c>
      <c r="H717">
        <f t="shared" si="42"/>
        <v>0</v>
      </c>
      <c r="I717" s="9" t="str" cm="1">
        <f t="array" ref="I717">_xlfn.LET(_xlpm.total,SUM(D717:G717),_xlpm.maxv,MAX(D717:G717),IF(_xlpm.total=0,"",IF(_xlpm.maxv/_xlpm.total&lt;0.5,"Mixed-Class",_xlfn.IFS(_xlpm.maxv=D717,"Assault",_xlpm.maxv=E717,"Engineer",_xlpm.maxv=F717,"Recon",_xlpm.maxv=G717,"Support"))))</f>
        <v/>
      </c>
      <c r="J717" t="str">
        <f t="shared" si="43"/>
        <v/>
      </c>
      <c r="K717" s="10" t="str">
        <f t="shared" si="44"/>
        <v/>
      </c>
    </row>
    <row r="718" spans="2:11" x14ac:dyDescent="0.25">
      <c r="B718">
        <v>7167</v>
      </c>
      <c r="H718">
        <f t="shared" si="42"/>
        <v>0</v>
      </c>
      <c r="I718" s="9" t="str" cm="1">
        <f t="array" ref="I718">_xlfn.LET(_xlpm.total,SUM(D718:G718),_xlpm.maxv,MAX(D718:G718),IF(_xlpm.total=0,"",IF(_xlpm.maxv/_xlpm.total&lt;0.5,"Mixed-Class",_xlfn.IFS(_xlpm.maxv=D718,"Assault",_xlpm.maxv=E718,"Engineer",_xlpm.maxv=F718,"Recon",_xlpm.maxv=G718,"Support"))))</f>
        <v/>
      </c>
      <c r="J718" t="str">
        <f t="shared" si="43"/>
        <v/>
      </c>
      <c r="K718" s="10" t="str">
        <f t="shared" si="44"/>
        <v/>
      </c>
    </row>
    <row r="719" spans="2:11" x14ac:dyDescent="0.25">
      <c r="B719">
        <v>7177</v>
      </c>
      <c r="H719">
        <f t="shared" si="42"/>
        <v>0</v>
      </c>
      <c r="I719" s="9" t="str" cm="1">
        <f t="array" ref="I719">_xlfn.LET(_xlpm.total,SUM(D719:G719),_xlpm.maxv,MAX(D719:G719),IF(_xlpm.total=0,"",IF(_xlpm.maxv/_xlpm.total&lt;0.5,"Mixed-Class",_xlfn.IFS(_xlpm.maxv=D719,"Assault",_xlpm.maxv=E719,"Engineer",_xlpm.maxv=F719,"Recon",_xlpm.maxv=G719,"Support"))))</f>
        <v/>
      </c>
      <c r="J719" t="str">
        <f t="shared" si="43"/>
        <v/>
      </c>
      <c r="K719" s="10" t="str">
        <f t="shared" si="44"/>
        <v/>
      </c>
    </row>
    <row r="720" spans="2:11" x14ac:dyDescent="0.25">
      <c r="B720">
        <v>7187</v>
      </c>
      <c r="H720">
        <f t="shared" si="42"/>
        <v>0</v>
      </c>
      <c r="I720" s="9" t="str" cm="1">
        <f t="array" ref="I720">_xlfn.LET(_xlpm.total,SUM(D720:G720),_xlpm.maxv,MAX(D720:G720),IF(_xlpm.total=0,"",IF(_xlpm.maxv/_xlpm.total&lt;0.5,"Mixed-Class",_xlfn.IFS(_xlpm.maxv=D720,"Assault",_xlpm.maxv=E720,"Engineer",_xlpm.maxv=F720,"Recon",_xlpm.maxv=G720,"Support"))))</f>
        <v/>
      </c>
      <c r="J720" t="str">
        <f t="shared" si="43"/>
        <v/>
      </c>
      <c r="K720" s="10" t="str">
        <f t="shared" si="44"/>
        <v/>
      </c>
    </row>
    <row r="721" spans="2:11" x14ac:dyDescent="0.25">
      <c r="B721">
        <v>7197</v>
      </c>
      <c r="H721">
        <f t="shared" si="42"/>
        <v>0</v>
      </c>
      <c r="I721" s="9" t="str" cm="1">
        <f t="array" ref="I721">_xlfn.LET(_xlpm.total,SUM(D721:G721),_xlpm.maxv,MAX(D721:G721),IF(_xlpm.total=0,"",IF(_xlpm.maxv/_xlpm.total&lt;0.5,"Mixed-Class",_xlfn.IFS(_xlpm.maxv=D721,"Assault",_xlpm.maxv=E721,"Engineer",_xlpm.maxv=F721,"Recon",_xlpm.maxv=G721,"Support"))))</f>
        <v/>
      </c>
      <c r="J721" t="str">
        <f t="shared" si="43"/>
        <v/>
      </c>
      <c r="K721" s="10" t="str">
        <f t="shared" si="44"/>
        <v/>
      </c>
    </row>
    <row r="722" spans="2:11" x14ac:dyDescent="0.25">
      <c r="B722">
        <v>7207</v>
      </c>
      <c r="H722">
        <f t="shared" si="42"/>
        <v>0</v>
      </c>
      <c r="I722" s="9" t="str" cm="1">
        <f t="array" ref="I722">_xlfn.LET(_xlpm.total,SUM(D722:G722),_xlpm.maxv,MAX(D722:G722),IF(_xlpm.total=0,"",IF(_xlpm.maxv/_xlpm.total&lt;0.5,"Mixed-Class",_xlfn.IFS(_xlpm.maxv=D722,"Assault",_xlpm.maxv=E722,"Engineer",_xlpm.maxv=F722,"Recon",_xlpm.maxv=G722,"Support"))))</f>
        <v/>
      </c>
      <c r="J722" t="str">
        <f t="shared" si="43"/>
        <v/>
      </c>
      <c r="K722" s="10" t="str">
        <f t="shared" si="44"/>
        <v/>
      </c>
    </row>
    <row r="723" spans="2:11" x14ac:dyDescent="0.25">
      <c r="B723">
        <v>7217</v>
      </c>
      <c r="H723">
        <f t="shared" si="42"/>
        <v>0</v>
      </c>
      <c r="I723" s="9" t="str" cm="1">
        <f t="array" ref="I723">_xlfn.LET(_xlpm.total,SUM(D723:G723),_xlpm.maxv,MAX(D723:G723),IF(_xlpm.total=0,"",IF(_xlpm.maxv/_xlpm.total&lt;0.5,"Mixed-Class",_xlfn.IFS(_xlpm.maxv=D723,"Assault",_xlpm.maxv=E723,"Engineer",_xlpm.maxv=F723,"Recon",_xlpm.maxv=G723,"Support"))))</f>
        <v/>
      </c>
      <c r="J723" t="str">
        <f t="shared" si="43"/>
        <v/>
      </c>
      <c r="K723" s="10" t="str">
        <f t="shared" si="44"/>
        <v/>
      </c>
    </row>
    <row r="724" spans="2:11" x14ac:dyDescent="0.25">
      <c r="B724">
        <v>7227</v>
      </c>
      <c r="H724">
        <f t="shared" si="42"/>
        <v>0</v>
      </c>
      <c r="I724" s="9" t="str" cm="1">
        <f t="array" ref="I724">_xlfn.LET(_xlpm.total,SUM(D724:G724),_xlpm.maxv,MAX(D724:G724),IF(_xlpm.total=0,"",IF(_xlpm.maxv/_xlpm.total&lt;0.5,"Mixed-Class",_xlfn.IFS(_xlpm.maxv=D724,"Assault",_xlpm.maxv=E724,"Engineer",_xlpm.maxv=F724,"Recon",_xlpm.maxv=G724,"Support"))))</f>
        <v/>
      </c>
      <c r="J724" t="str">
        <f t="shared" si="43"/>
        <v/>
      </c>
      <c r="K724" s="10" t="str">
        <f t="shared" si="44"/>
        <v/>
      </c>
    </row>
    <row r="725" spans="2:11" x14ac:dyDescent="0.25">
      <c r="B725">
        <v>7237</v>
      </c>
      <c r="H725">
        <f t="shared" si="42"/>
        <v>0</v>
      </c>
      <c r="I725" s="9" t="str" cm="1">
        <f t="array" ref="I725">_xlfn.LET(_xlpm.total,SUM(D725:G725),_xlpm.maxv,MAX(D725:G725),IF(_xlpm.total=0,"",IF(_xlpm.maxv/_xlpm.total&lt;0.5,"Mixed-Class",_xlfn.IFS(_xlpm.maxv=D725,"Assault",_xlpm.maxv=E725,"Engineer",_xlpm.maxv=F725,"Recon",_xlpm.maxv=G725,"Support"))))</f>
        <v/>
      </c>
      <c r="J725" t="str">
        <f t="shared" si="43"/>
        <v/>
      </c>
      <c r="K725" s="10" t="str">
        <f t="shared" si="44"/>
        <v/>
      </c>
    </row>
    <row r="726" spans="2:11" x14ac:dyDescent="0.25">
      <c r="B726">
        <v>7247</v>
      </c>
      <c r="H726">
        <f t="shared" si="42"/>
        <v>0</v>
      </c>
      <c r="I726" s="9" t="str" cm="1">
        <f t="array" ref="I726">_xlfn.LET(_xlpm.total,SUM(D726:G726),_xlpm.maxv,MAX(D726:G726),IF(_xlpm.total=0,"",IF(_xlpm.maxv/_xlpm.total&lt;0.5,"Mixed-Class",_xlfn.IFS(_xlpm.maxv=D726,"Assault",_xlpm.maxv=E726,"Engineer",_xlpm.maxv=F726,"Recon",_xlpm.maxv=G726,"Support"))))</f>
        <v/>
      </c>
      <c r="J726" t="str">
        <f t="shared" si="43"/>
        <v/>
      </c>
      <c r="K726" s="10" t="str">
        <f t="shared" si="44"/>
        <v/>
      </c>
    </row>
    <row r="727" spans="2:11" x14ac:dyDescent="0.25">
      <c r="B727">
        <v>7257</v>
      </c>
      <c r="H727">
        <f t="shared" si="42"/>
        <v>0</v>
      </c>
      <c r="I727" s="9" t="str" cm="1">
        <f t="array" ref="I727">_xlfn.LET(_xlpm.total,SUM(D727:G727),_xlpm.maxv,MAX(D727:G727),IF(_xlpm.total=0,"",IF(_xlpm.maxv/_xlpm.total&lt;0.5,"Mixed-Class",_xlfn.IFS(_xlpm.maxv=D727,"Assault",_xlpm.maxv=E727,"Engineer",_xlpm.maxv=F727,"Recon",_xlpm.maxv=G727,"Support"))))</f>
        <v/>
      </c>
      <c r="J727" t="str">
        <f t="shared" si="43"/>
        <v/>
      </c>
      <c r="K727" s="10" t="str">
        <f t="shared" si="44"/>
        <v/>
      </c>
    </row>
    <row r="728" spans="2:11" x14ac:dyDescent="0.25">
      <c r="B728">
        <v>7267</v>
      </c>
      <c r="H728">
        <f t="shared" si="42"/>
        <v>0</v>
      </c>
      <c r="I728" s="9" t="str" cm="1">
        <f t="array" ref="I728">_xlfn.LET(_xlpm.total,SUM(D728:G728),_xlpm.maxv,MAX(D728:G728),IF(_xlpm.total=0,"",IF(_xlpm.maxv/_xlpm.total&lt;0.5,"Mixed-Class",_xlfn.IFS(_xlpm.maxv=D728,"Assault",_xlpm.maxv=E728,"Engineer",_xlpm.maxv=F728,"Recon",_xlpm.maxv=G728,"Support"))))</f>
        <v/>
      </c>
      <c r="J728" t="str">
        <f t="shared" si="43"/>
        <v/>
      </c>
      <c r="K728" s="10" t="str">
        <f t="shared" si="44"/>
        <v/>
      </c>
    </row>
    <row r="729" spans="2:11" x14ac:dyDescent="0.25">
      <c r="B729">
        <v>7277</v>
      </c>
      <c r="H729">
        <f t="shared" si="42"/>
        <v>0</v>
      </c>
      <c r="I729" s="9" t="str" cm="1">
        <f t="array" ref="I729">_xlfn.LET(_xlpm.total,SUM(D729:G729),_xlpm.maxv,MAX(D729:G729),IF(_xlpm.total=0,"",IF(_xlpm.maxv/_xlpm.total&lt;0.5,"Mixed-Class",_xlfn.IFS(_xlpm.maxv=D729,"Assault",_xlpm.maxv=E729,"Engineer",_xlpm.maxv=F729,"Recon",_xlpm.maxv=G729,"Support"))))</f>
        <v/>
      </c>
      <c r="J729" t="str">
        <f t="shared" si="43"/>
        <v/>
      </c>
      <c r="K729" s="10" t="str">
        <f t="shared" si="44"/>
        <v/>
      </c>
    </row>
    <row r="730" spans="2:11" x14ac:dyDescent="0.25">
      <c r="B730">
        <v>7287</v>
      </c>
      <c r="H730">
        <f t="shared" si="42"/>
        <v>0</v>
      </c>
      <c r="I730" s="9" t="str" cm="1">
        <f t="array" ref="I730">_xlfn.LET(_xlpm.total,SUM(D730:G730),_xlpm.maxv,MAX(D730:G730),IF(_xlpm.total=0,"",IF(_xlpm.maxv/_xlpm.total&lt;0.5,"Mixed-Class",_xlfn.IFS(_xlpm.maxv=D730,"Assault",_xlpm.maxv=E730,"Engineer",_xlpm.maxv=F730,"Recon",_xlpm.maxv=G730,"Support"))))</f>
        <v/>
      </c>
      <c r="J730" t="str">
        <f t="shared" si="43"/>
        <v/>
      </c>
      <c r="K730" s="10" t="str">
        <f t="shared" si="44"/>
        <v/>
      </c>
    </row>
    <row r="731" spans="2:11" x14ac:dyDescent="0.25">
      <c r="B731">
        <v>7297</v>
      </c>
      <c r="H731">
        <f t="shared" si="42"/>
        <v>0</v>
      </c>
      <c r="I731" s="9" t="str" cm="1">
        <f t="array" ref="I731">_xlfn.LET(_xlpm.total,SUM(D731:G731),_xlpm.maxv,MAX(D731:G731),IF(_xlpm.total=0,"",IF(_xlpm.maxv/_xlpm.total&lt;0.5,"Mixed-Class",_xlfn.IFS(_xlpm.maxv=D731,"Assault",_xlpm.maxv=E731,"Engineer",_xlpm.maxv=F731,"Recon",_xlpm.maxv=G731,"Support"))))</f>
        <v/>
      </c>
      <c r="J731" t="str">
        <f t="shared" si="43"/>
        <v/>
      </c>
      <c r="K731" s="10" t="str">
        <f t="shared" si="44"/>
        <v/>
      </c>
    </row>
    <row r="732" spans="2:11" x14ac:dyDescent="0.25">
      <c r="B732">
        <v>7307</v>
      </c>
      <c r="H732">
        <f t="shared" si="42"/>
        <v>0</v>
      </c>
      <c r="I732" s="9" t="str" cm="1">
        <f t="array" ref="I732">_xlfn.LET(_xlpm.total,SUM(D732:G732),_xlpm.maxv,MAX(D732:G732),IF(_xlpm.total=0,"",IF(_xlpm.maxv/_xlpm.total&lt;0.5,"Mixed-Class",_xlfn.IFS(_xlpm.maxv=D732,"Assault",_xlpm.maxv=E732,"Engineer",_xlpm.maxv=F732,"Recon",_xlpm.maxv=G732,"Support"))))</f>
        <v/>
      </c>
      <c r="J732" t="str">
        <f t="shared" si="43"/>
        <v/>
      </c>
      <c r="K732" s="10" t="str">
        <f t="shared" si="44"/>
        <v/>
      </c>
    </row>
    <row r="733" spans="2:11" x14ac:dyDescent="0.25">
      <c r="B733">
        <v>7317</v>
      </c>
      <c r="H733">
        <f t="shared" si="42"/>
        <v>0</v>
      </c>
      <c r="I733" s="9" t="str" cm="1">
        <f t="array" ref="I733">_xlfn.LET(_xlpm.total,SUM(D733:G733),_xlpm.maxv,MAX(D733:G733),IF(_xlpm.total=0,"",IF(_xlpm.maxv/_xlpm.total&lt;0.5,"Mixed-Class",_xlfn.IFS(_xlpm.maxv=D733,"Assault",_xlpm.maxv=E733,"Engineer",_xlpm.maxv=F733,"Recon",_xlpm.maxv=G733,"Support"))))</f>
        <v/>
      </c>
      <c r="J733" t="str">
        <f t="shared" si="43"/>
        <v/>
      </c>
      <c r="K733" s="10" t="str">
        <f t="shared" si="44"/>
        <v/>
      </c>
    </row>
    <row r="734" spans="2:11" x14ac:dyDescent="0.25">
      <c r="B734">
        <v>7327</v>
      </c>
      <c r="H734">
        <f t="shared" si="42"/>
        <v>0</v>
      </c>
      <c r="I734" s="9" t="str" cm="1">
        <f t="array" ref="I734">_xlfn.LET(_xlpm.total,SUM(D734:G734),_xlpm.maxv,MAX(D734:G734),IF(_xlpm.total=0,"",IF(_xlpm.maxv/_xlpm.total&lt;0.5,"Mixed-Class",_xlfn.IFS(_xlpm.maxv=D734,"Assault",_xlpm.maxv=E734,"Engineer",_xlpm.maxv=F734,"Recon",_xlpm.maxv=G734,"Support"))))</f>
        <v/>
      </c>
      <c r="J734" t="str">
        <f t="shared" si="43"/>
        <v/>
      </c>
      <c r="K734" s="10" t="str">
        <f t="shared" si="44"/>
        <v/>
      </c>
    </row>
    <row r="735" spans="2:11" x14ac:dyDescent="0.25">
      <c r="B735">
        <v>7337</v>
      </c>
      <c r="H735">
        <f t="shared" si="42"/>
        <v>0</v>
      </c>
      <c r="I735" s="9" t="str" cm="1">
        <f t="array" ref="I735">_xlfn.LET(_xlpm.total,SUM(D735:G735),_xlpm.maxv,MAX(D735:G735),IF(_xlpm.total=0,"",IF(_xlpm.maxv/_xlpm.total&lt;0.5,"Mixed-Class",_xlfn.IFS(_xlpm.maxv=D735,"Assault",_xlpm.maxv=E735,"Engineer",_xlpm.maxv=F735,"Recon",_xlpm.maxv=G735,"Support"))))</f>
        <v/>
      </c>
      <c r="J735" t="str">
        <f t="shared" si="43"/>
        <v/>
      </c>
      <c r="K735" s="10" t="str">
        <f t="shared" si="44"/>
        <v/>
      </c>
    </row>
    <row r="736" spans="2:11" x14ac:dyDescent="0.25">
      <c r="B736">
        <v>7347</v>
      </c>
      <c r="H736">
        <f t="shared" si="42"/>
        <v>0</v>
      </c>
      <c r="I736" s="9" t="str" cm="1">
        <f t="array" ref="I736">_xlfn.LET(_xlpm.total,SUM(D736:G736),_xlpm.maxv,MAX(D736:G736),IF(_xlpm.total=0,"",IF(_xlpm.maxv/_xlpm.total&lt;0.5,"Mixed-Class",_xlfn.IFS(_xlpm.maxv=D736,"Assault",_xlpm.maxv=E736,"Engineer",_xlpm.maxv=F736,"Recon",_xlpm.maxv=G736,"Support"))))</f>
        <v/>
      </c>
      <c r="J736" t="str">
        <f t="shared" si="43"/>
        <v/>
      </c>
      <c r="K736" s="10" t="str">
        <f t="shared" si="44"/>
        <v/>
      </c>
    </row>
    <row r="737" spans="2:11" x14ac:dyDescent="0.25">
      <c r="B737">
        <v>7357</v>
      </c>
      <c r="H737">
        <f t="shared" si="42"/>
        <v>0</v>
      </c>
      <c r="I737" s="9" t="str" cm="1">
        <f t="array" ref="I737">_xlfn.LET(_xlpm.total,SUM(D737:G737),_xlpm.maxv,MAX(D737:G737),IF(_xlpm.total=0,"",IF(_xlpm.maxv/_xlpm.total&lt;0.5,"Mixed-Class",_xlfn.IFS(_xlpm.maxv=D737,"Assault",_xlpm.maxv=E737,"Engineer",_xlpm.maxv=F737,"Recon",_xlpm.maxv=G737,"Support"))))</f>
        <v/>
      </c>
      <c r="J737" t="str">
        <f t="shared" si="43"/>
        <v/>
      </c>
      <c r="K737" s="10" t="str">
        <f t="shared" si="44"/>
        <v/>
      </c>
    </row>
    <row r="738" spans="2:11" x14ac:dyDescent="0.25">
      <c r="B738">
        <v>7367</v>
      </c>
      <c r="H738">
        <f t="shared" si="42"/>
        <v>0</v>
      </c>
      <c r="I738" s="9" t="str" cm="1">
        <f t="array" ref="I738">_xlfn.LET(_xlpm.total,SUM(D738:G738),_xlpm.maxv,MAX(D738:G738),IF(_xlpm.total=0,"",IF(_xlpm.maxv/_xlpm.total&lt;0.5,"Mixed-Class",_xlfn.IFS(_xlpm.maxv=D738,"Assault",_xlpm.maxv=E738,"Engineer",_xlpm.maxv=F738,"Recon",_xlpm.maxv=G738,"Support"))))</f>
        <v/>
      </c>
      <c r="J738" t="str">
        <f t="shared" si="43"/>
        <v/>
      </c>
      <c r="K738" s="10" t="str">
        <f t="shared" si="44"/>
        <v/>
      </c>
    </row>
    <row r="739" spans="2:11" x14ac:dyDescent="0.25">
      <c r="B739">
        <v>7377</v>
      </c>
      <c r="H739">
        <f t="shared" si="42"/>
        <v>0</v>
      </c>
      <c r="I739" s="9" t="str" cm="1">
        <f t="array" ref="I739">_xlfn.LET(_xlpm.total,SUM(D739:G739),_xlpm.maxv,MAX(D739:G739),IF(_xlpm.total=0,"",IF(_xlpm.maxv/_xlpm.total&lt;0.5,"Mixed-Class",_xlfn.IFS(_xlpm.maxv=D739,"Assault",_xlpm.maxv=E739,"Engineer",_xlpm.maxv=F739,"Recon",_xlpm.maxv=G739,"Support"))))</f>
        <v/>
      </c>
      <c r="J739" t="str">
        <f t="shared" si="43"/>
        <v/>
      </c>
      <c r="K739" s="10" t="str">
        <f t="shared" si="44"/>
        <v/>
      </c>
    </row>
    <row r="740" spans="2:11" x14ac:dyDescent="0.25">
      <c r="B740">
        <v>7387</v>
      </c>
      <c r="H740">
        <f t="shared" si="42"/>
        <v>0</v>
      </c>
      <c r="I740" s="9" t="str" cm="1">
        <f t="array" ref="I740">_xlfn.LET(_xlpm.total,SUM(D740:G740),_xlpm.maxv,MAX(D740:G740),IF(_xlpm.total=0,"",IF(_xlpm.maxv/_xlpm.total&lt;0.5,"Mixed-Class",_xlfn.IFS(_xlpm.maxv=D740,"Assault",_xlpm.maxv=E740,"Engineer",_xlpm.maxv=F740,"Recon",_xlpm.maxv=G740,"Support"))))</f>
        <v/>
      </c>
      <c r="J740" t="str">
        <f t="shared" si="43"/>
        <v/>
      </c>
      <c r="K740" s="10" t="str">
        <f t="shared" si="44"/>
        <v/>
      </c>
    </row>
    <row r="741" spans="2:11" x14ac:dyDescent="0.25">
      <c r="B741">
        <v>7397</v>
      </c>
      <c r="H741">
        <f t="shared" si="42"/>
        <v>0</v>
      </c>
      <c r="I741" s="9" t="str" cm="1">
        <f t="array" ref="I741">_xlfn.LET(_xlpm.total,SUM(D741:G741),_xlpm.maxv,MAX(D741:G741),IF(_xlpm.total=0,"",IF(_xlpm.maxv/_xlpm.total&lt;0.5,"Mixed-Class",_xlfn.IFS(_xlpm.maxv=D741,"Assault",_xlpm.maxv=E741,"Engineer",_xlpm.maxv=F741,"Recon",_xlpm.maxv=G741,"Support"))))</f>
        <v/>
      </c>
      <c r="J741" t="str">
        <f t="shared" si="43"/>
        <v/>
      </c>
      <c r="K741" s="10" t="str">
        <f t="shared" si="44"/>
        <v/>
      </c>
    </row>
    <row r="742" spans="2:11" x14ac:dyDescent="0.25">
      <c r="B742">
        <v>7407</v>
      </c>
      <c r="H742">
        <f t="shared" si="42"/>
        <v>0</v>
      </c>
      <c r="I742" s="9" t="str" cm="1">
        <f t="array" ref="I742">_xlfn.LET(_xlpm.total,SUM(D742:G742),_xlpm.maxv,MAX(D742:G742),IF(_xlpm.total=0,"",IF(_xlpm.maxv/_xlpm.total&lt;0.5,"Mixed-Class",_xlfn.IFS(_xlpm.maxv=D742,"Assault",_xlpm.maxv=E742,"Engineer",_xlpm.maxv=F742,"Recon",_xlpm.maxv=G742,"Support"))))</f>
        <v/>
      </c>
      <c r="J742" t="str">
        <f t="shared" si="43"/>
        <v/>
      </c>
      <c r="K742" s="10" t="str">
        <f t="shared" si="44"/>
        <v/>
      </c>
    </row>
    <row r="743" spans="2:11" x14ac:dyDescent="0.25">
      <c r="B743">
        <v>7417</v>
      </c>
      <c r="H743">
        <f t="shared" si="42"/>
        <v>0</v>
      </c>
      <c r="I743" s="9" t="str" cm="1">
        <f t="array" ref="I743">_xlfn.LET(_xlpm.total,SUM(D743:G743),_xlpm.maxv,MAX(D743:G743),IF(_xlpm.total=0,"",IF(_xlpm.maxv/_xlpm.total&lt;0.5,"Mixed-Class",_xlfn.IFS(_xlpm.maxv=D743,"Assault",_xlpm.maxv=E743,"Engineer",_xlpm.maxv=F743,"Recon",_xlpm.maxv=G743,"Support"))))</f>
        <v/>
      </c>
      <c r="J743" t="str">
        <f t="shared" si="43"/>
        <v/>
      </c>
      <c r="K743" s="10" t="str">
        <f t="shared" si="44"/>
        <v/>
      </c>
    </row>
    <row r="744" spans="2:11" x14ac:dyDescent="0.25">
      <c r="B744">
        <v>7427</v>
      </c>
      <c r="H744">
        <f t="shared" si="42"/>
        <v>0</v>
      </c>
      <c r="I744" s="9" t="str" cm="1">
        <f t="array" ref="I744">_xlfn.LET(_xlpm.total,SUM(D744:G744),_xlpm.maxv,MAX(D744:G744),IF(_xlpm.total=0,"",IF(_xlpm.maxv/_xlpm.total&lt;0.5,"Mixed-Class",_xlfn.IFS(_xlpm.maxv=D744,"Assault",_xlpm.maxv=E744,"Engineer",_xlpm.maxv=F744,"Recon",_xlpm.maxv=G744,"Support"))))</f>
        <v/>
      </c>
      <c r="J744" t="str">
        <f t="shared" si="43"/>
        <v/>
      </c>
      <c r="K744" s="10" t="str">
        <f t="shared" si="44"/>
        <v/>
      </c>
    </row>
    <row r="745" spans="2:11" x14ac:dyDescent="0.25">
      <c r="B745">
        <v>7437</v>
      </c>
      <c r="H745">
        <f t="shared" si="42"/>
        <v>0</v>
      </c>
      <c r="I745" s="9" t="str" cm="1">
        <f t="array" ref="I745">_xlfn.LET(_xlpm.total,SUM(D745:G745),_xlpm.maxv,MAX(D745:G745),IF(_xlpm.total=0,"",IF(_xlpm.maxv/_xlpm.total&lt;0.5,"Mixed-Class",_xlfn.IFS(_xlpm.maxv=D745,"Assault",_xlpm.maxv=E745,"Engineer",_xlpm.maxv=F745,"Recon",_xlpm.maxv=G745,"Support"))))</f>
        <v/>
      </c>
      <c r="J745" t="str">
        <f t="shared" si="43"/>
        <v/>
      </c>
      <c r="K745" s="10" t="str">
        <f t="shared" si="44"/>
        <v/>
      </c>
    </row>
    <row r="746" spans="2:11" x14ac:dyDescent="0.25">
      <c r="B746">
        <v>7447</v>
      </c>
      <c r="H746">
        <f t="shared" si="42"/>
        <v>0</v>
      </c>
      <c r="I746" s="9" t="str" cm="1">
        <f t="array" ref="I746">_xlfn.LET(_xlpm.total,SUM(D746:G746),_xlpm.maxv,MAX(D746:G746),IF(_xlpm.total=0,"",IF(_xlpm.maxv/_xlpm.total&lt;0.5,"Mixed-Class",_xlfn.IFS(_xlpm.maxv=D746,"Assault",_xlpm.maxv=E746,"Engineer",_xlpm.maxv=F746,"Recon",_xlpm.maxv=G746,"Support"))))</f>
        <v/>
      </c>
      <c r="J746" t="str">
        <f t="shared" si="43"/>
        <v/>
      </c>
      <c r="K746" s="10" t="str">
        <f t="shared" si="44"/>
        <v/>
      </c>
    </row>
    <row r="747" spans="2:11" x14ac:dyDescent="0.25">
      <c r="B747">
        <v>7457</v>
      </c>
      <c r="H747">
        <f t="shared" si="42"/>
        <v>0</v>
      </c>
      <c r="I747" s="9" t="str" cm="1">
        <f t="array" ref="I747">_xlfn.LET(_xlpm.total,SUM(D747:G747),_xlpm.maxv,MAX(D747:G747),IF(_xlpm.total=0,"",IF(_xlpm.maxv/_xlpm.total&lt;0.5,"Mixed-Class",_xlfn.IFS(_xlpm.maxv=D747,"Assault",_xlpm.maxv=E747,"Engineer",_xlpm.maxv=F747,"Recon",_xlpm.maxv=G747,"Support"))))</f>
        <v/>
      </c>
      <c r="J747" t="str">
        <f t="shared" si="43"/>
        <v/>
      </c>
      <c r="K747" s="10" t="str">
        <f t="shared" si="44"/>
        <v/>
      </c>
    </row>
    <row r="748" spans="2:11" x14ac:dyDescent="0.25">
      <c r="B748">
        <v>7467</v>
      </c>
      <c r="H748">
        <f t="shared" si="42"/>
        <v>0</v>
      </c>
      <c r="I748" s="9" t="str" cm="1">
        <f t="array" ref="I748">_xlfn.LET(_xlpm.total,SUM(D748:G748),_xlpm.maxv,MAX(D748:G748),IF(_xlpm.total=0,"",IF(_xlpm.maxv/_xlpm.total&lt;0.5,"Mixed-Class",_xlfn.IFS(_xlpm.maxv=D748,"Assault",_xlpm.maxv=E748,"Engineer",_xlpm.maxv=F748,"Recon",_xlpm.maxv=G748,"Support"))))</f>
        <v/>
      </c>
      <c r="J748" t="str">
        <f t="shared" si="43"/>
        <v/>
      </c>
      <c r="K748" s="10" t="str">
        <f t="shared" si="44"/>
        <v/>
      </c>
    </row>
    <row r="749" spans="2:11" x14ac:dyDescent="0.25">
      <c r="B749">
        <v>7477</v>
      </c>
      <c r="H749">
        <f t="shared" si="42"/>
        <v>0</v>
      </c>
      <c r="I749" s="9" t="str" cm="1">
        <f t="array" ref="I749">_xlfn.LET(_xlpm.total,SUM(D749:G749),_xlpm.maxv,MAX(D749:G749),IF(_xlpm.total=0,"",IF(_xlpm.maxv/_xlpm.total&lt;0.5,"Mixed-Class",_xlfn.IFS(_xlpm.maxv=D749,"Assault",_xlpm.maxv=E749,"Engineer",_xlpm.maxv=F749,"Recon",_xlpm.maxv=G749,"Support"))))</f>
        <v/>
      </c>
      <c r="J749" t="str">
        <f t="shared" si="43"/>
        <v/>
      </c>
      <c r="K749" s="10" t="str">
        <f t="shared" si="44"/>
        <v/>
      </c>
    </row>
    <row r="750" spans="2:11" x14ac:dyDescent="0.25">
      <c r="B750">
        <v>7487</v>
      </c>
      <c r="H750">
        <f t="shared" si="42"/>
        <v>0</v>
      </c>
      <c r="I750" s="9" t="str" cm="1">
        <f t="array" ref="I750">_xlfn.LET(_xlpm.total,SUM(D750:G750),_xlpm.maxv,MAX(D750:G750),IF(_xlpm.total=0,"",IF(_xlpm.maxv/_xlpm.total&lt;0.5,"Mixed-Class",_xlfn.IFS(_xlpm.maxv=D750,"Assault",_xlpm.maxv=E750,"Engineer",_xlpm.maxv=F750,"Recon",_xlpm.maxv=G750,"Support"))))</f>
        <v/>
      </c>
      <c r="J750" t="str">
        <f t="shared" si="43"/>
        <v/>
      </c>
      <c r="K750" s="10" t="str">
        <f t="shared" si="44"/>
        <v/>
      </c>
    </row>
    <row r="751" spans="2:11" x14ac:dyDescent="0.25">
      <c r="B751">
        <v>7497</v>
      </c>
      <c r="H751">
        <f t="shared" si="42"/>
        <v>0</v>
      </c>
      <c r="I751" s="9" t="str" cm="1">
        <f t="array" ref="I751">_xlfn.LET(_xlpm.total,SUM(D751:G751),_xlpm.maxv,MAX(D751:G751),IF(_xlpm.total=0,"",IF(_xlpm.maxv/_xlpm.total&lt;0.5,"Mixed-Class",_xlfn.IFS(_xlpm.maxv=D751,"Assault",_xlpm.maxv=E751,"Engineer",_xlpm.maxv=F751,"Recon",_xlpm.maxv=G751,"Support"))))</f>
        <v/>
      </c>
      <c r="J751" t="str">
        <f t="shared" si="43"/>
        <v/>
      </c>
      <c r="K751" s="10" t="str">
        <f t="shared" si="44"/>
        <v/>
      </c>
    </row>
    <row r="752" spans="2:11" x14ac:dyDescent="0.25">
      <c r="B752">
        <v>7507</v>
      </c>
      <c r="H752">
        <f t="shared" si="42"/>
        <v>0</v>
      </c>
      <c r="I752" s="9" t="str" cm="1">
        <f t="array" ref="I752">_xlfn.LET(_xlpm.total,SUM(D752:G752),_xlpm.maxv,MAX(D752:G752),IF(_xlpm.total=0,"",IF(_xlpm.maxv/_xlpm.total&lt;0.5,"Mixed-Class",_xlfn.IFS(_xlpm.maxv=D752,"Assault",_xlpm.maxv=E752,"Engineer",_xlpm.maxv=F752,"Recon",_xlpm.maxv=G752,"Support"))))</f>
        <v/>
      </c>
      <c r="J752" t="str">
        <f t="shared" si="43"/>
        <v/>
      </c>
      <c r="K752" s="10" t="str">
        <f t="shared" si="44"/>
        <v/>
      </c>
    </row>
    <row r="753" spans="2:11" x14ac:dyDescent="0.25">
      <c r="B753">
        <v>7517</v>
      </c>
      <c r="H753">
        <f t="shared" si="42"/>
        <v>0</v>
      </c>
      <c r="I753" s="9" t="str" cm="1">
        <f t="array" ref="I753">_xlfn.LET(_xlpm.total,SUM(D753:G753),_xlpm.maxv,MAX(D753:G753),IF(_xlpm.total=0,"",IF(_xlpm.maxv/_xlpm.total&lt;0.5,"Mixed-Class",_xlfn.IFS(_xlpm.maxv=D753,"Assault",_xlpm.maxv=E753,"Engineer",_xlpm.maxv=F753,"Recon",_xlpm.maxv=G753,"Support"))))</f>
        <v/>
      </c>
      <c r="J753" t="str">
        <f t="shared" si="43"/>
        <v/>
      </c>
      <c r="K753" s="10" t="str">
        <f t="shared" si="44"/>
        <v/>
      </c>
    </row>
    <row r="754" spans="2:11" x14ac:dyDescent="0.25">
      <c r="B754">
        <v>7527</v>
      </c>
      <c r="H754">
        <f t="shared" si="42"/>
        <v>0</v>
      </c>
      <c r="I754" s="9" t="str" cm="1">
        <f t="array" ref="I754">_xlfn.LET(_xlpm.total,SUM(D754:G754),_xlpm.maxv,MAX(D754:G754),IF(_xlpm.total=0,"",IF(_xlpm.maxv/_xlpm.total&lt;0.5,"Mixed-Class",_xlfn.IFS(_xlpm.maxv=D754,"Assault",_xlpm.maxv=E754,"Engineer",_xlpm.maxv=F754,"Recon",_xlpm.maxv=G754,"Support"))))</f>
        <v/>
      </c>
      <c r="J754" t="str">
        <f t="shared" si="43"/>
        <v/>
      </c>
      <c r="K754" s="10" t="str">
        <f t="shared" si="44"/>
        <v/>
      </c>
    </row>
    <row r="755" spans="2:11" x14ac:dyDescent="0.25">
      <c r="B755">
        <v>7537</v>
      </c>
      <c r="H755">
        <f t="shared" si="42"/>
        <v>0</v>
      </c>
      <c r="I755" s="9" t="str" cm="1">
        <f t="array" ref="I755">_xlfn.LET(_xlpm.total,SUM(D755:G755),_xlpm.maxv,MAX(D755:G755),IF(_xlpm.total=0,"",IF(_xlpm.maxv/_xlpm.total&lt;0.5,"Mixed-Class",_xlfn.IFS(_xlpm.maxv=D755,"Assault",_xlpm.maxv=E755,"Engineer",_xlpm.maxv=F755,"Recon",_xlpm.maxv=G755,"Support"))))</f>
        <v/>
      </c>
      <c r="J755" t="str">
        <f t="shared" si="43"/>
        <v/>
      </c>
      <c r="K755" s="10" t="str">
        <f t="shared" si="44"/>
        <v/>
      </c>
    </row>
    <row r="756" spans="2:11" x14ac:dyDescent="0.25">
      <c r="B756">
        <v>7547</v>
      </c>
      <c r="H756">
        <f t="shared" si="42"/>
        <v>0</v>
      </c>
      <c r="I756" s="9" t="str" cm="1">
        <f t="array" ref="I756">_xlfn.LET(_xlpm.total,SUM(D756:G756),_xlpm.maxv,MAX(D756:G756),IF(_xlpm.total=0,"",IF(_xlpm.maxv/_xlpm.total&lt;0.5,"Mixed-Class",_xlfn.IFS(_xlpm.maxv=D756,"Assault",_xlpm.maxv=E756,"Engineer",_xlpm.maxv=F756,"Recon",_xlpm.maxv=G756,"Support"))))</f>
        <v/>
      </c>
      <c r="J756" t="str">
        <f t="shared" si="43"/>
        <v/>
      </c>
      <c r="K756" s="10" t="str">
        <f t="shared" si="44"/>
        <v/>
      </c>
    </row>
    <row r="757" spans="2:11" x14ac:dyDescent="0.25">
      <c r="B757">
        <v>7557</v>
      </c>
      <c r="H757">
        <f t="shared" si="42"/>
        <v>0</v>
      </c>
      <c r="I757" s="9" t="str" cm="1">
        <f t="array" ref="I757">_xlfn.LET(_xlpm.total,SUM(D757:G757),_xlpm.maxv,MAX(D757:G757),IF(_xlpm.total=0,"",IF(_xlpm.maxv/_xlpm.total&lt;0.5,"Mixed-Class",_xlfn.IFS(_xlpm.maxv=D757,"Assault",_xlpm.maxv=E757,"Engineer",_xlpm.maxv=F757,"Recon",_xlpm.maxv=G757,"Support"))))</f>
        <v/>
      </c>
      <c r="J757" t="str">
        <f t="shared" si="43"/>
        <v/>
      </c>
      <c r="K757" s="10" t="str">
        <f t="shared" si="44"/>
        <v/>
      </c>
    </row>
    <row r="758" spans="2:11" x14ac:dyDescent="0.25">
      <c r="B758">
        <v>7567</v>
      </c>
      <c r="H758">
        <f t="shared" si="42"/>
        <v>0</v>
      </c>
      <c r="I758" s="9" t="str" cm="1">
        <f t="array" ref="I758">_xlfn.LET(_xlpm.total,SUM(D758:G758),_xlpm.maxv,MAX(D758:G758),IF(_xlpm.total=0,"",IF(_xlpm.maxv/_xlpm.total&lt;0.5,"Mixed-Class",_xlfn.IFS(_xlpm.maxv=D758,"Assault",_xlpm.maxv=E758,"Engineer",_xlpm.maxv=F758,"Recon",_xlpm.maxv=G758,"Support"))))</f>
        <v/>
      </c>
      <c r="J758" t="str">
        <f t="shared" si="43"/>
        <v/>
      </c>
      <c r="K758" s="10" t="str">
        <f t="shared" si="44"/>
        <v/>
      </c>
    </row>
    <row r="759" spans="2:11" x14ac:dyDescent="0.25">
      <c r="B759">
        <v>7577</v>
      </c>
      <c r="H759">
        <f t="shared" si="42"/>
        <v>0</v>
      </c>
      <c r="I759" s="9" t="str" cm="1">
        <f t="array" ref="I759">_xlfn.LET(_xlpm.total,SUM(D759:G759),_xlpm.maxv,MAX(D759:G759),IF(_xlpm.total=0,"",IF(_xlpm.maxv/_xlpm.total&lt;0.5,"Mixed-Class",_xlfn.IFS(_xlpm.maxv=D759,"Assault",_xlpm.maxv=E759,"Engineer",_xlpm.maxv=F759,"Recon",_xlpm.maxv=G759,"Support"))))</f>
        <v/>
      </c>
      <c r="J759" t="str">
        <f t="shared" si="43"/>
        <v/>
      </c>
      <c r="K759" s="10" t="str">
        <f t="shared" si="44"/>
        <v/>
      </c>
    </row>
    <row r="760" spans="2:11" x14ac:dyDescent="0.25">
      <c r="B760">
        <v>7587</v>
      </c>
      <c r="H760">
        <f t="shared" si="42"/>
        <v>0</v>
      </c>
      <c r="I760" s="9" t="str" cm="1">
        <f t="array" ref="I760">_xlfn.LET(_xlpm.total,SUM(D760:G760),_xlpm.maxv,MAX(D760:G760),IF(_xlpm.total=0,"",IF(_xlpm.maxv/_xlpm.total&lt;0.5,"Mixed-Class",_xlfn.IFS(_xlpm.maxv=D760,"Assault",_xlpm.maxv=E760,"Engineer",_xlpm.maxv=F760,"Recon",_xlpm.maxv=G760,"Support"))))</f>
        <v/>
      </c>
      <c r="J760" t="str">
        <f t="shared" si="43"/>
        <v/>
      </c>
      <c r="K760" s="10" t="str">
        <f t="shared" si="44"/>
        <v/>
      </c>
    </row>
    <row r="761" spans="2:11" x14ac:dyDescent="0.25">
      <c r="B761">
        <v>7597</v>
      </c>
      <c r="H761">
        <f t="shared" si="42"/>
        <v>0</v>
      </c>
      <c r="I761" s="9" t="str" cm="1">
        <f t="array" ref="I761">_xlfn.LET(_xlpm.total,SUM(D761:G761),_xlpm.maxv,MAX(D761:G761),IF(_xlpm.total=0,"",IF(_xlpm.maxv/_xlpm.total&lt;0.5,"Mixed-Class",_xlfn.IFS(_xlpm.maxv=D761,"Assault",_xlpm.maxv=E761,"Engineer",_xlpm.maxv=F761,"Recon",_xlpm.maxv=G761,"Support"))))</f>
        <v/>
      </c>
      <c r="J761" t="str">
        <f t="shared" si="43"/>
        <v/>
      </c>
      <c r="K761" s="10" t="str">
        <f t="shared" si="44"/>
        <v/>
      </c>
    </row>
    <row r="762" spans="2:11" x14ac:dyDescent="0.25">
      <c r="B762">
        <v>7607</v>
      </c>
      <c r="H762">
        <f t="shared" si="42"/>
        <v>0</v>
      </c>
      <c r="I762" s="9" t="str" cm="1">
        <f t="array" ref="I762">_xlfn.LET(_xlpm.total,SUM(D762:G762),_xlpm.maxv,MAX(D762:G762),IF(_xlpm.total=0,"",IF(_xlpm.maxv/_xlpm.total&lt;0.5,"Mixed-Class",_xlfn.IFS(_xlpm.maxv=D762,"Assault",_xlpm.maxv=E762,"Engineer",_xlpm.maxv=F762,"Recon",_xlpm.maxv=G762,"Support"))))</f>
        <v/>
      </c>
      <c r="J762" t="str">
        <f t="shared" si="43"/>
        <v/>
      </c>
      <c r="K762" s="10" t="str">
        <f t="shared" si="44"/>
        <v/>
      </c>
    </row>
    <row r="763" spans="2:11" x14ac:dyDescent="0.25">
      <c r="B763">
        <v>7617</v>
      </c>
      <c r="H763">
        <f t="shared" si="42"/>
        <v>0</v>
      </c>
      <c r="I763" s="9" t="str" cm="1">
        <f t="array" ref="I763">_xlfn.LET(_xlpm.total,SUM(D763:G763),_xlpm.maxv,MAX(D763:G763),IF(_xlpm.total=0,"",IF(_xlpm.maxv/_xlpm.total&lt;0.5,"Mixed-Class",_xlfn.IFS(_xlpm.maxv=D763,"Assault",_xlpm.maxv=E763,"Engineer",_xlpm.maxv=F763,"Recon",_xlpm.maxv=G763,"Support"))))</f>
        <v/>
      </c>
      <c r="J763" t="str">
        <f t="shared" si="43"/>
        <v/>
      </c>
      <c r="K763" s="10" t="str">
        <f t="shared" si="44"/>
        <v/>
      </c>
    </row>
    <row r="764" spans="2:11" x14ac:dyDescent="0.25">
      <c r="B764">
        <v>7627</v>
      </c>
      <c r="H764">
        <f t="shared" si="42"/>
        <v>0</v>
      </c>
      <c r="I764" s="9" t="str" cm="1">
        <f t="array" ref="I764">_xlfn.LET(_xlpm.total,SUM(D764:G764),_xlpm.maxv,MAX(D764:G764),IF(_xlpm.total=0,"",IF(_xlpm.maxv/_xlpm.total&lt;0.5,"Mixed-Class",_xlfn.IFS(_xlpm.maxv=D764,"Assault",_xlpm.maxv=E764,"Engineer",_xlpm.maxv=F764,"Recon",_xlpm.maxv=G764,"Support"))))</f>
        <v/>
      </c>
      <c r="J764" t="str">
        <f t="shared" si="43"/>
        <v/>
      </c>
      <c r="K764" s="10" t="str">
        <f t="shared" si="44"/>
        <v/>
      </c>
    </row>
    <row r="765" spans="2:11" x14ac:dyDescent="0.25">
      <c r="B765">
        <v>7637</v>
      </c>
      <c r="H765">
        <f t="shared" si="42"/>
        <v>0</v>
      </c>
      <c r="I765" s="9" t="str" cm="1">
        <f t="array" ref="I765">_xlfn.LET(_xlpm.total,SUM(D765:G765),_xlpm.maxv,MAX(D765:G765),IF(_xlpm.total=0,"",IF(_xlpm.maxv/_xlpm.total&lt;0.5,"Mixed-Class",_xlfn.IFS(_xlpm.maxv=D765,"Assault",_xlpm.maxv=E765,"Engineer",_xlpm.maxv=F765,"Recon",_xlpm.maxv=G765,"Support"))))</f>
        <v/>
      </c>
      <c r="J765" t="str">
        <f t="shared" si="43"/>
        <v/>
      </c>
      <c r="K765" s="10" t="str">
        <f t="shared" si="44"/>
        <v/>
      </c>
    </row>
    <row r="766" spans="2:11" x14ac:dyDescent="0.25">
      <c r="B766">
        <v>7647</v>
      </c>
      <c r="H766">
        <f t="shared" si="42"/>
        <v>0</v>
      </c>
      <c r="I766" s="9" t="str" cm="1">
        <f t="array" ref="I766">_xlfn.LET(_xlpm.total,SUM(D766:G766),_xlpm.maxv,MAX(D766:G766),IF(_xlpm.total=0,"",IF(_xlpm.maxv/_xlpm.total&lt;0.5,"Mixed-Class",_xlfn.IFS(_xlpm.maxv=D766,"Assault",_xlpm.maxv=E766,"Engineer",_xlpm.maxv=F766,"Recon",_xlpm.maxv=G766,"Support"))))</f>
        <v/>
      </c>
      <c r="J766" t="str">
        <f t="shared" si="43"/>
        <v/>
      </c>
      <c r="K766" s="10" t="str">
        <f t="shared" si="44"/>
        <v/>
      </c>
    </row>
    <row r="767" spans="2:11" x14ac:dyDescent="0.25">
      <c r="B767">
        <v>7657</v>
      </c>
      <c r="H767">
        <f t="shared" si="42"/>
        <v>0</v>
      </c>
      <c r="I767" s="9" t="str" cm="1">
        <f t="array" ref="I767">_xlfn.LET(_xlpm.total,SUM(D767:G767),_xlpm.maxv,MAX(D767:G767),IF(_xlpm.total=0,"",IF(_xlpm.maxv/_xlpm.total&lt;0.5,"Mixed-Class",_xlfn.IFS(_xlpm.maxv=D767,"Assault",_xlpm.maxv=E767,"Engineer",_xlpm.maxv=F767,"Recon",_xlpm.maxv=G767,"Support"))))</f>
        <v/>
      </c>
      <c r="J767" t="str">
        <f t="shared" si="43"/>
        <v/>
      </c>
      <c r="K767" s="10" t="str">
        <f t="shared" si="44"/>
        <v/>
      </c>
    </row>
    <row r="768" spans="2:11" x14ac:dyDescent="0.25">
      <c r="B768">
        <v>7667</v>
      </c>
      <c r="H768">
        <f t="shared" si="42"/>
        <v>0</v>
      </c>
      <c r="I768" s="9" t="str" cm="1">
        <f t="array" ref="I768">_xlfn.LET(_xlpm.total,SUM(D768:G768),_xlpm.maxv,MAX(D768:G768),IF(_xlpm.total=0,"",IF(_xlpm.maxv/_xlpm.total&lt;0.5,"Mixed-Class",_xlfn.IFS(_xlpm.maxv=D768,"Assault",_xlpm.maxv=E768,"Engineer",_xlpm.maxv=F768,"Recon",_xlpm.maxv=G768,"Support"))))</f>
        <v/>
      </c>
      <c r="J768" t="str">
        <f t="shared" si="43"/>
        <v/>
      </c>
      <c r="K768" s="10" t="str">
        <f t="shared" si="44"/>
        <v/>
      </c>
    </row>
    <row r="769" spans="2:11" x14ac:dyDescent="0.25">
      <c r="B769">
        <v>7677</v>
      </c>
      <c r="H769">
        <f t="shared" si="42"/>
        <v>0</v>
      </c>
      <c r="I769" s="9" t="str" cm="1">
        <f t="array" ref="I769">_xlfn.LET(_xlpm.total,SUM(D769:G769),_xlpm.maxv,MAX(D769:G769),IF(_xlpm.total=0,"",IF(_xlpm.maxv/_xlpm.total&lt;0.5,"Mixed-Class",_xlfn.IFS(_xlpm.maxv=D769,"Assault",_xlpm.maxv=E769,"Engineer",_xlpm.maxv=F769,"Recon",_xlpm.maxv=G769,"Support"))))</f>
        <v/>
      </c>
      <c r="J769" t="str">
        <f t="shared" si="43"/>
        <v/>
      </c>
      <c r="K769" s="10" t="str">
        <f t="shared" si="44"/>
        <v/>
      </c>
    </row>
    <row r="770" spans="2:11" x14ac:dyDescent="0.25">
      <c r="B770">
        <v>7687</v>
      </c>
      <c r="H770">
        <f t="shared" si="42"/>
        <v>0</v>
      </c>
      <c r="I770" s="9" t="str" cm="1">
        <f t="array" ref="I770">_xlfn.LET(_xlpm.total,SUM(D770:G770),_xlpm.maxv,MAX(D770:G770),IF(_xlpm.total=0,"",IF(_xlpm.maxv/_xlpm.total&lt;0.5,"Mixed-Class",_xlfn.IFS(_xlpm.maxv=D770,"Assault",_xlpm.maxv=E770,"Engineer",_xlpm.maxv=F770,"Recon",_xlpm.maxv=G770,"Support"))))</f>
        <v/>
      </c>
      <c r="J770" t="str">
        <f t="shared" si="43"/>
        <v/>
      </c>
      <c r="K770" s="10" t="str">
        <f t="shared" si="44"/>
        <v/>
      </c>
    </row>
    <row r="771" spans="2:11" x14ac:dyDescent="0.25">
      <c r="B771">
        <v>7697</v>
      </c>
      <c r="H771">
        <f t="shared" ref="H771:H834" si="45">SUM(D771:G771)</f>
        <v>0</v>
      </c>
      <c r="I771" s="9" t="str" cm="1">
        <f t="array" ref="I771">_xlfn.LET(_xlpm.total,SUM(D771:G771),_xlpm.maxv,MAX(D771:G771),IF(_xlpm.total=0,"",IF(_xlpm.maxv/_xlpm.total&lt;0.5,"Mixed-Class",_xlfn.IFS(_xlpm.maxv=D771,"Assault",_xlpm.maxv=E771,"Engineer",_xlpm.maxv=F771,"Recon",_xlpm.maxv=G771,"Support"))))</f>
        <v/>
      </c>
      <c r="J771" t="str">
        <f t="shared" ref="J771:J834" si="46">_xlfn.LET(_xlpm.total,SUM(D771:G771),IF(_xlpm.total=0,"",MAX(D771:G771)/_xlpm.total&gt;=0.5))</f>
        <v/>
      </c>
      <c r="K771" s="10" t="str">
        <f t="shared" ref="K771:K834" si="47">_xlfn.LET(_xlpm.total,SUM(D771:G771),IF(_xlpm.total=0,"",MAX(D771:G771)/_xlpm.total))</f>
        <v/>
      </c>
    </row>
    <row r="772" spans="2:11" x14ac:dyDescent="0.25">
      <c r="B772">
        <v>7707</v>
      </c>
      <c r="H772">
        <f t="shared" si="45"/>
        <v>0</v>
      </c>
      <c r="I772" s="9" t="str" cm="1">
        <f t="array" ref="I772">_xlfn.LET(_xlpm.total,SUM(D772:G772),_xlpm.maxv,MAX(D772:G772),IF(_xlpm.total=0,"",IF(_xlpm.maxv/_xlpm.total&lt;0.5,"Mixed-Class",_xlfn.IFS(_xlpm.maxv=D772,"Assault",_xlpm.maxv=E772,"Engineer",_xlpm.maxv=F772,"Recon",_xlpm.maxv=G772,"Support"))))</f>
        <v/>
      </c>
      <c r="J772" t="str">
        <f t="shared" si="46"/>
        <v/>
      </c>
      <c r="K772" s="10" t="str">
        <f t="shared" si="47"/>
        <v/>
      </c>
    </row>
    <row r="773" spans="2:11" x14ac:dyDescent="0.25">
      <c r="B773">
        <v>7717</v>
      </c>
      <c r="H773">
        <f t="shared" si="45"/>
        <v>0</v>
      </c>
      <c r="I773" s="9" t="str" cm="1">
        <f t="array" ref="I773">_xlfn.LET(_xlpm.total,SUM(D773:G773),_xlpm.maxv,MAX(D773:G773),IF(_xlpm.total=0,"",IF(_xlpm.maxv/_xlpm.total&lt;0.5,"Mixed-Class",_xlfn.IFS(_xlpm.maxv=D773,"Assault",_xlpm.maxv=E773,"Engineer",_xlpm.maxv=F773,"Recon",_xlpm.maxv=G773,"Support"))))</f>
        <v/>
      </c>
      <c r="J773" t="str">
        <f t="shared" si="46"/>
        <v/>
      </c>
      <c r="K773" s="10" t="str">
        <f t="shared" si="47"/>
        <v/>
      </c>
    </row>
    <row r="774" spans="2:11" x14ac:dyDescent="0.25">
      <c r="B774">
        <v>7727</v>
      </c>
      <c r="H774">
        <f t="shared" si="45"/>
        <v>0</v>
      </c>
      <c r="I774" s="9" t="str" cm="1">
        <f t="array" ref="I774">_xlfn.LET(_xlpm.total,SUM(D774:G774),_xlpm.maxv,MAX(D774:G774),IF(_xlpm.total=0,"",IF(_xlpm.maxv/_xlpm.total&lt;0.5,"Mixed-Class",_xlfn.IFS(_xlpm.maxv=D774,"Assault",_xlpm.maxv=E774,"Engineer",_xlpm.maxv=F774,"Recon",_xlpm.maxv=G774,"Support"))))</f>
        <v/>
      </c>
      <c r="J774" t="str">
        <f t="shared" si="46"/>
        <v/>
      </c>
      <c r="K774" s="10" t="str">
        <f t="shared" si="47"/>
        <v/>
      </c>
    </row>
    <row r="775" spans="2:11" x14ac:dyDescent="0.25">
      <c r="B775">
        <v>7737</v>
      </c>
      <c r="H775">
        <f t="shared" si="45"/>
        <v>0</v>
      </c>
      <c r="I775" s="9" t="str" cm="1">
        <f t="array" ref="I775">_xlfn.LET(_xlpm.total,SUM(D775:G775),_xlpm.maxv,MAX(D775:G775),IF(_xlpm.total=0,"",IF(_xlpm.maxv/_xlpm.total&lt;0.5,"Mixed-Class",_xlfn.IFS(_xlpm.maxv=D775,"Assault",_xlpm.maxv=E775,"Engineer",_xlpm.maxv=F775,"Recon",_xlpm.maxv=G775,"Support"))))</f>
        <v/>
      </c>
      <c r="J775" t="str">
        <f t="shared" si="46"/>
        <v/>
      </c>
      <c r="K775" s="10" t="str">
        <f t="shared" si="47"/>
        <v/>
      </c>
    </row>
    <row r="776" spans="2:11" x14ac:dyDescent="0.25">
      <c r="B776">
        <v>7747</v>
      </c>
      <c r="H776">
        <f t="shared" si="45"/>
        <v>0</v>
      </c>
      <c r="I776" s="9" t="str" cm="1">
        <f t="array" ref="I776">_xlfn.LET(_xlpm.total,SUM(D776:G776),_xlpm.maxv,MAX(D776:G776),IF(_xlpm.total=0,"",IF(_xlpm.maxv/_xlpm.total&lt;0.5,"Mixed-Class",_xlfn.IFS(_xlpm.maxv=D776,"Assault",_xlpm.maxv=E776,"Engineer",_xlpm.maxv=F776,"Recon",_xlpm.maxv=G776,"Support"))))</f>
        <v/>
      </c>
      <c r="J776" t="str">
        <f t="shared" si="46"/>
        <v/>
      </c>
      <c r="K776" s="10" t="str">
        <f t="shared" si="47"/>
        <v/>
      </c>
    </row>
    <row r="777" spans="2:11" x14ac:dyDescent="0.25">
      <c r="B777">
        <v>7757</v>
      </c>
      <c r="H777">
        <f t="shared" si="45"/>
        <v>0</v>
      </c>
      <c r="I777" s="9" t="str" cm="1">
        <f t="array" ref="I777">_xlfn.LET(_xlpm.total,SUM(D777:G777),_xlpm.maxv,MAX(D777:G777),IF(_xlpm.total=0,"",IF(_xlpm.maxv/_xlpm.total&lt;0.5,"Mixed-Class",_xlfn.IFS(_xlpm.maxv=D777,"Assault",_xlpm.maxv=E777,"Engineer",_xlpm.maxv=F777,"Recon",_xlpm.maxv=G777,"Support"))))</f>
        <v/>
      </c>
      <c r="J777" t="str">
        <f t="shared" si="46"/>
        <v/>
      </c>
      <c r="K777" s="10" t="str">
        <f t="shared" si="47"/>
        <v/>
      </c>
    </row>
    <row r="778" spans="2:11" x14ac:dyDescent="0.25">
      <c r="B778">
        <v>7767</v>
      </c>
      <c r="H778">
        <f t="shared" si="45"/>
        <v>0</v>
      </c>
      <c r="I778" s="9" t="str" cm="1">
        <f t="array" ref="I778">_xlfn.LET(_xlpm.total,SUM(D778:G778),_xlpm.maxv,MAX(D778:G778),IF(_xlpm.total=0,"",IF(_xlpm.maxv/_xlpm.total&lt;0.5,"Mixed-Class",_xlfn.IFS(_xlpm.maxv=D778,"Assault",_xlpm.maxv=E778,"Engineer",_xlpm.maxv=F778,"Recon",_xlpm.maxv=G778,"Support"))))</f>
        <v/>
      </c>
      <c r="J778" t="str">
        <f t="shared" si="46"/>
        <v/>
      </c>
      <c r="K778" s="10" t="str">
        <f t="shared" si="47"/>
        <v/>
      </c>
    </row>
    <row r="779" spans="2:11" x14ac:dyDescent="0.25">
      <c r="B779">
        <v>7777</v>
      </c>
      <c r="H779">
        <f t="shared" si="45"/>
        <v>0</v>
      </c>
      <c r="I779" s="9" t="str" cm="1">
        <f t="array" ref="I779">_xlfn.LET(_xlpm.total,SUM(D779:G779),_xlpm.maxv,MAX(D779:G779),IF(_xlpm.total=0,"",IF(_xlpm.maxv/_xlpm.total&lt;0.5,"Mixed-Class",_xlfn.IFS(_xlpm.maxv=D779,"Assault",_xlpm.maxv=E779,"Engineer",_xlpm.maxv=F779,"Recon",_xlpm.maxv=G779,"Support"))))</f>
        <v/>
      </c>
      <c r="J779" t="str">
        <f t="shared" si="46"/>
        <v/>
      </c>
      <c r="K779" s="10" t="str">
        <f t="shared" si="47"/>
        <v/>
      </c>
    </row>
    <row r="780" spans="2:11" x14ac:dyDescent="0.25">
      <c r="B780">
        <v>7787</v>
      </c>
      <c r="H780">
        <f t="shared" si="45"/>
        <v>0</v>
      </c>
      <c r="I780" s="9" t="str" cm="1">
        <f t="array" ref="I780">_xlfn.LET(_xlpm.total,SUM(D780:G780),_xlpm.maxv,MAX(D780:G780),IF(_xlpm.total=0,"",IF(_xlpm.maxv/_xlpm.total&lt;0.5,"Mixed-Class",_xlfn.IFS(_xlpm.maxv=D780,"Assault",_xlpm.maxv=E780,"Engineer",_xlpm.maxv=F780,"Recon",_xlpm.maxv=G780,"Support"))))</f>
        <v/>
      </c>
      <c r="J780" t="str">
        <f t="shared" si="46"/>
        <v/>
      </c>
      <c r="K780" s="10" t="str">
        <f t="shared" si="47"/>
        <v/>
      </c>
    </row>
    <row r="781" spans="2:11" x14ac:dyDescent="0.25">
      <c r="B781">
        <v>7797</v>
      </c>
      <c r="H781">
        <f t="shared" si="45"/>
        <v>0</v>
      </c>
      <c r="I781" s="9" t="str" cm="1">
        <f t="array" ref="I781">_xlfn.LET(_xlpm.total,SUM(D781:G781),_xlpm.maxv,MAX(D781:G781),IF(_xlpm.total=0,"",IF(_xlpm.maxv/_xlpm.total&lt;0.5,"Mixed-Class",_xlfn.IFS(_xlpm.maxv=D781,"Assault",_xlpm.maxv=E781,"Engineer",_xlpm.maxv=F781,"Recon",_xlpm.maxv=G781,"Support"))))</f>
        <v/>
      </c>
      <c r="J781" t="str">
        <f t="shared" si="46"/>
        <v/>
      </c>
      <c r="K781" s="10" t="str">
        <f t="shared" si="47"/>
        <v/>
      </c>
    </row>
    <row r="782" spans="2:11" x14ac:dyDescent="0.25">
      <c r="B782">
        <v>7807</v>
      </c>
      <c r="H782">
        <f t="shared" si="45"/>
        <v>0</v>
      </c>
      <c r="I782" s="9" t="str" cm="1">
        <f t="array" ref="I782">_xlfn.LET(_xlpm.total,SUM(D782:G782),_xlpm.maxv,MAX(D782:G782),IF(_xlpm.total=0,"",IF(_xlpm.maxv/_xlpm.total&lt;0.5,"Mixed-Class",_xlfn.IFS(_xlpm.maxv=D782,"Assault",_xlpm.maxv=E782,"Engineer",_xlpm.maxv=F782,"Recon",_xlpm.maxv=G782,"Support"))))</f>
        <v/>
      </c>
      <c r="J782" t="str">
        <f t="shared" si="46"/>
        <v/>
      </c>
      <c r="K782" s="10" t="str">
        <f t="shared" si="47"/>
        <v/>
      </c>
    </row>
    <row r="783" spans="2:11" x14ac:dyDescent="0.25">
      <c r="B783">
        <v>7817</v>
      </c>
      <c r="H783">
        <f t="shared" si="45"/>
        <v>0</v>
      </c>
      <c r="I783" s="9" t="str" cm="1">
        <f t="array" ref="I783">_xlfn.LET(_xlpm.total,SUM(D783:G783),_xlpm.maxv,MAX(D783:G783),IF(_xlpm.total=0,"",IF(_xlpm.maxv/_xlpm.total&lt;0.5,"Mixed-Class",_xlfn.IFS(_xlpm.maxv=D783,"Assault",_xlpm.maxv=E783,"Engineer",_xlpm.maxv=F783,"Recon",_xlpm.maxv=G783,"Support"))))</f>
        <v/>
      </c>
      <c r="J783" t="str">
        <f t="shared" si="46"/>
        <v/>
      </c>
      <c r="K783" s="10" t="str">
        <f t="shared" si="47"/>
        <v/>
      </c>
    </row>
    <row r="784" spans="2:11" x14ac:dyDescent="0.25">
      <c r="B784">
        <v>7827</v>
      </c>
      <c r="H784">
        <f t="shared" si="45"/>
        <v>0</v>
      </c>
      <c r="I784" s="9" t="str" cm="1">
        <f t="array" ref="I784">_xlfn.LET(_xlpm.total,SUM(D784:G784),_xlpm.maxv,MAX(D784:G784),IF(_xlpm.total=0,"",IF(_xlpm.maxv/_xlpm.total&lt;0.5,"Mixed-Class",_xlfn.IFS(_xlpm.maxv=D784,"Assault",_xlpm.maxv=E784,"Engineer",_xlpm.maxv=F784,"Recon",_xlpm.maxv=G784,"Support"))))</f>
        <v/>
      </c>
      <c r="J784" t="str">
        <f t="shared" si="46"/>
        <v/>
      </c>
      <c r="K784" s="10" t="str">
        <f t="shared" si="47"/>
        <v/>
      </c>
    </row>
    <row r="785" spans="2:11" x14ac:dyDescent="0.25">
      <c r="B785">
        <v>7837</v>
      </c>
      <c r="H785">
        <f t="shared" si="45"/>
        <v>0</v>
      </c>
      <c r="I785" s="9" t="str" cm="1">
        <f t="array" ref="I785">_xlfn.LET(_xlpm.total,SUM(D785:G785),_xlpm.maxv,MAX(D785:G785),IF(_xlpm.total=0,"",IF(_xlpm.maxv/_xlpm.total&lt;0.5,"Mixed-Class",_xlfn.IFS(_xlpm.maxv=D785,"Assault",_xlpm.maxv=E785,"Engineer",_xlpm.maxv=F785,"Recon",_xlpm.maxv=G785,"Support"))))</f>
        <v/>
      </c>
      <c r="J785" t="str">
        <f t="shared" si="46"/>
        <v/>
      </c>
      <c r="K785" s="10" t="str">
        <f t="shared" si="47"/>
        <v/>
      </c>
    </row>
    <row r="786" spans="2:11" x14ac:dyDescent="0.25">
      <c r="B786">
        <v>7847</v>
      </c>
      <c r="H786">
        <f t="shared" si="45"/>
        <v>0</v>
      </c>
      <c r="I786" s="9" t="str" cm="1">
        <f t="array" ref="I786">_xlfn.LET(_xlpm.total,SUM(D786:G786),_xlpm.maxv,MAX(D786:G786),IF(_xlpm.total=0,"",IF(_xlpm.maxv/_xlpm.total&lt;0.5,"Mixed-Class",_xlfn.IFS(_xlpm.maxv=D786,"Assault",_xlpm.maxv=E786,"Engineer",_xlpm.maxv=F786,"Recon",_xlpm.maxv=G786,"Support"))))</f>
        <v/>
      </c>
      <c r="J786" t="str">
        <f t="shared" si="46"/>
        <v/>
      </c>
      <c r="K786" s="10" t="str">
        <f t="shared" si="47"/>
        <v/>
      </c>
    </row>
    <row r="787" spans="2:11" x14ac:dyDescent="0.25">
      <c r="B787">
        <v>7857</v>
      </c>
      <c r="H787">
        <f t="shared" si="45"/>
        <v>0</v>
      </c>
      <c r="I787" s="9" t="str" cm="1">
        <f t="array" ref="I787">_xlfn.LET(_xlpm.total,SUM(D787:G787),_xlpm.maxv,MAX(D787:G787),IF(_xlpm.total=0,"",IF(_xlpm.maxv/_xlpm.total&lt;0.5,"Mixed-Class",_xlfn.IFS(_xlpm.maxv=D787,"Assault",_xlpm.maxv=E787,"Engineer",_xlpm.maxv=F787,"Recon",_xlpm.maxv=G787,"Support"))))</f>
        <v/>
      </c>
      <c r="J787" t="str">
        <f t="shared" si="46"/>
        <v/>
      </c>
      <c r="K787" s="10" t="str">
        <f t="shared" si="47"/>
        <v/>
      </c>
    </row>
    <row r="788" spans="2:11" x14ac:dyDescent="0.25">
      <c r="B788">
        <v>7867</v>
      </c>
      <c r="H788">
        <f t="shared" si="45"/>
        <v>0</v>
      </c>
      <c r="I788" s="9" t="str" cm="1">
        <f t="array" ref="I788">_xlfn.LET(_xlpm.total,SUM(D788:G788),_xlpm.maxv,MAX(D788:G788),IF(_xlpm.total=0,"",IF(_xlpm.maxv/_xlpm.total&lt;0.5,"Mixed-Class",_xlfn.IFS(_xlpm.maxv=D788,"Assault",_xlpm.maxv=E788,"Engineer",_xlpm.maxv=F788,"Recon",_xlpm.maxv=G788,"Support"))))</f>
        <v/>
      </c>
      <c r="J788" t="str">
        <f t="shared" si="46"/>
        <v/>
      </c>
      <c r="K788" s="10" t="str">
        <f t="shared" si="47"/>
        <v/>
      </c>
    </row>
    <row r="789" spans="2:11" x14ac:dyDescent="0.25">
      <c r="B789">
        <v>7877</v>
      </c>
      <c r="H789">
        <f t="shared" si="45"/>
        <v>0</v>
      </c>
      <c r="I789" s="9" t="str" cm="1">
        <f t="array" ref="I789">_xlfn.LET(_xlpm.total,SUM(D789:G789),_xlpm.maxv,MAX(D789:G789),IF(_xlpm.total=0,"",IF(_xlpm.maxv/_xlpm.total&lt;0.5,"Mixed-Class",_xlfn.IFS(_xlpm.maxv=D789,"Assault",_xlpm.maxv=E789,"Engineer",_xlpm.maxv=F789,"Recon",_xlpm.maxv=G789,"Support"))))</f>
        <v/>
      </c>
      <c r="J789" t="str">
        <f t="shared" si="46"/>
        <v/>
      </c>
      <c r="K789" s="10" t="str">
        <f t="shared" si="47"/>
        <v/>
      </c>
    </row>
    <row r="790" spans="2:11" x14ac:dyDescent="0.25">
      <c r="B790">
        <v>7887</v>
      </c>
      <c r="H790">
        <f t="shared" si="45"/>
        <v>0</v>
      </c>
      <c r="I790" s="9" t="str" cm="1">
        <f t="array" ref="I790">_xlfn.LET(_xlpm.total,SUM(D790:G790),_xlpm.maxv,MAX(D790:G790),IF(_xlpm.total=0,"",IF(_xlpm.maxv/_xlpm.total&lt;0.5,"Mixed-Class",_xlfn.IFS(_xlpm.maxv=D790,"Assault",_xlpm.maxv=E790,"Engineer",_xlpm.maxv=F790,"Recon",_xlpm.maxv=G790,"Support"))))</f>
        <v/>
      </c>
      <c r="J790" t="str">
        <f t="shared" si="46"/>
        <v/>
      </c>
      <c r="K790" s="10" t="str">
        <f t="shared" si="47"/>
        <v/>
      </c>
    </row>
    <row r="791" spans="2:11" x14ac:dyDescent="0.25">
      <c r="B791">
        <v>7897</v>
      </c>
      <c r="H791">
        <f t="shared" si="45"/>
        <v>0</v>
      </c>
      <c r="I791" s="9" t="str" cm="1">
        <f t="array" ref="I791">_xlfn.LET(_xlpm.total,SUM(D791:G791),_xlpm.maxv,MAX(D791:G791),IF(_xlpm.total=0,"",IF(_xlpm.maxv/_xlpm.total&lt;0.5,"Mixed-Class",_xlfn.IFS(_xlpm.maxv=D791,"Assault",_xlpm.maxv=E791,"Engineer",_xlpm.maxv=F791,"Recon",_xlpm.maxv=G791,"Support"))))</f>
        <v/>
      </c>
      <c r="J791" t="str">
        <f t="shared" si="46"/>
        <v/>
      </c>
      <c r="K791" s="10" t="str">
        <f t="shared" si="47"/>
        <v/>
      </c>
    </row>
    <row r="792" spans="2:11" x14ac:dyDescent="0.25">
      <c r="B792">
        <v>7907</v>
      </c>
      <c r="H792">
        <f t="shared" si="45"/>
        <v>0</v>
      </c>
      <c r="I792" s="9" t="str" cm="1">
        <f t="array" ref="I792">_xlfn.LET(_xlpm.total,SUM(D792:G792),_xlpm.maxv,MAX(D792:G792),IF(_xlpm.total=0,"",IF(_xlpm.maxv/_xlpm.total&lt;0.5,"Mixed-Class",_xlfn.IFS(_xlpm.maxv=D792,"Assault",_xlpm.maxv=E792,"Engineer",_xlpm.maxv=F792,"Recon",_xlpm.maxv=G792,"Support"))))</f>
        <v/>
      </c>
      <c r="J792" t="str">
        <f t="shared" si="46"/>
        <v/>
      </c>
      <c r="K792" s="10" t="str">
        <f t="shared" si="47"/>
        <v/>
      </c>
    </row>
    <row r="793" spans="2:11" x14ac:dyDescent="0.25">
      <c r="B793">
        <v>7917</v>
      </c>
      <c r="H793">
        <f t="shared" si="45"/>
        <v>0</v>
      </c>
      <c r="I793" s="9" t="str" cm="1">
        <f t="array" ref="I793">_xlfn.LET(_xlpm.total,SUM(D793:G793),_xlpm.maxv,MAX(D793:G793),IF(_xlpm.total=0,"",IF(_xlpm.maxv/_xlpm.total&lt;0.5,"Mixed-Class",_xlfn.IFS(_xlpm.maxv=D793,"Assault",_xlpm.maxv=E793,"Engineer",_xlpm.maxv=F793,"Recon",_xlpm.maxv=G793,"Support"))))</f>
        <v/>
      </c>
      <c r="J793" t="str">
        <f t="shared" si="46"/>
        <v/>
      </c>
      <c r="K793" s="10" t="str">
        <f t="shared" si="47"/>
        <v/>
      </c>
    </row>
    <row r="794" spans="2:11" x14ac:dyDescent="0.25">
      <c r="B794">
        <v>7927</v>
      </c>
      <c r="H794">
        <f t="shared" si="45"/>
        <v>0</v>
      </c>
      <c r="I794" s="9" t="str" cm="1">
        <f t="array" ref="I794">_xlfn.LET(_xlpm.total,SUM(D794:G794),_xlpm.maxv,MAX(D794:G794),IF(_xlpm.total=0,"",IF(_xlpm.maxv/_xlpm.total&lt;0.5,"Mixed-Class",_xlfn.IFS(_xlpm.maxv=D794,"Assault",_xlpm.maxv=E794,"Engineer",_xlpm.maxv=F794,"Recon",_xlpm.maxv=G794,"Support"))))</f>
        <v/>
      </c>
      <c r="J794" t="str">
        <f t="shared" si="46"/>
        <v/>
      </c>
      <c r="K794" s="10" t="str">
        <f t="shared" si="47"/>
        <v/>
      </c>
    </row>
    <row r="795" spans="2:11" x14ac:dyDescent="0.25">
      <c r="B795">
        <v>7937</v>
      </c>
      <c r="H795">
        <f t="shared" si="45"/>
        <v>0</v>
      </c>
      <c r="I795" s="9" t="str" cm="1">
        <f t="array" ref="I795">_xlfn.LET(_xlpm.total,SUM(D795:G795),_xlpm.maxv,MAX(D795:G795),IF(_xlpm.total=0,"",IF(_xlpm.maxv/_xlpm.total&lt;0.5,"Mixed-Class",_xlfn.IFS(_xlpm.maxv=D795,"Assault",_xlpm.maxv=E795,"Engineer",_xlpm.maxv=F795,"Recon",_xlpm.maxv=G795,"Support"))))</f>
        <v/>
      </c>
      <c r="J795" t="str">
        <f t="shared" si="46"/>
        <v/>
      </c>
      <c r="K795" s="10" t="str">
        <f t="shared" si="47"/>
        <v/>
      </c>
    </row>
    <row r="796" spans="2:11" x14ac:dyDescent="0.25">
      <c r="B796">
        <v>7947</v>
      </c>
      <c r="H796">
        <f t="shared" si="45"/>
        <v>0</v>
      </c>
      <c r="I796" s="9" t="str" cm="1">
        <f t="array" ref="I796">_xlfn.LET(_xlpm.total,SUM(D796:G796),_xlpm.maxv,MAX(D796:G796),IF(_xlpm.total=0,"",IF(_xlpm.maxv/_xlpm.total&lt;0.5,"Mixed-Class",_xlfn.IFS(_xlpm.maxv=D796,"Assault",_xlpm.maxv=E796,"Engineer",_xlpm.maxv=F796,"Recon",_xlpm.maxv=G796,"Support"))))</f>
        <v/>
      </c>
      <c r="J796" t="str">
        <f t="shared" si="46"/>
        <v/>
      </c>
      <c r="K796" s="10" t="str">
        <f t="shared" si="47"/>
        <v/>
      </c>
    </row>
    <row r="797" spans="2:11" x14ac:dyDescent="0.25">
      <c r="B797">
        <v>7957</v>
      </c>
      <c r="H797">
        <f t="shared" si="45"/>
        <v>0</v>
      </c>
      <c r="I797" s="9" t="str" cm="1">
        <f t="array" ref="I797">_xlfn.LET(_xlpm.total,SUM(D797:G797),_xlpm.maxv,MAX(D797:G797),IF(_xlpm.total=0,"",IF(_xlpm.maxv/_xlpm.total&lt;0.5,"Mixed-Class",_xlfn.IFS(_xlpm.maxv=D797,"Assault",_xlpm.maxv=E797,"Engineer",_xlpm.maxv=F797,"Recon",_xlpm.maxv=G797,"Support"))))</f>
        <v/>
      </c>
      <c r="J797" t="str">
        <f t="shared" si="46"/>
        <v/>
      </c>
      <c r="K797" s="10" t="str">
        <f t="shared" si="47"/>
        <v/>
      </c>
    </row>
    <row r="798" spans="2:11" x14ac:dyDescent="0.25">
      <c r="B798">
        <v>7967</v>
      </c>
      <c r="H798">
        <f t="shared" si="45"/>
        <v>0</v>
      </c>
      <c r="I798" s="9" t="str" cm="1">
        <f t="array" ref="I798">_xlfn.LET(_xlpm.total,SUM(D798:G798),_xlpm.maxv,MAX(D798:G798),IF(_xlpm.total=0,"",IF(_xlpm.maxv/_xlpm.total&lt;0.5,"Mixed-Class",_xlfn.IFS(_xlpm.maxv=D798,"Assault",_xlpm.maxv=E798,"Engineer",_xlpm.maxv=F798,"Recon",_xlpm.maxv=G798,"Support"))))</f>
        <v/>
      </c>
      <c r="J798" t="str">
        <f t="shared" si="46"/>
        <v/>
      </c>
      <c r="K798" s="10" t="str">
        <f t="shared" si="47"/>
        <v/>
      </c>
    </row>
    <row r="799" spans="2:11" x14ac:dyDescent="0.25">
      <c r="B799">
        <v>7977</v>
      </c>
      <c r="H799">
        <f t="shared" si="45"/>
        <v>0</v>
      </c>
      <c r="I799" s="9" t="str" cm="1">
        <f t="array" ref="I799">_xlfn.LET(_xlpm.total,SUM(D799:G799),_xlpm.maxv,MAX(D799:G799),IF(_xlpm.total=0,"",IF(_xlpm.maxv/_xlpm.total&lt;0.5,"Mixed-Class",_xlfn.IFS(_xlpm.maxv=D799,"Assault",_xlpm.maxv=E799,"Engineer",_xlpm.maxv=F799,"Recon",_xlpm.maxv=G799,"Support"))))</f>
        <v/>
      </c>
      <c r="J799" t="str">
        <f t="shared" si="46"/>
        <v/>
      </c>
      <c r="K799" s="10" t="str">
        <f t="shared" si="47"/>
        <v/>
      </c>
    </row>
    <row r="800" spans="2:11" x14ac:dyDescent="0.25">
      <c r="B800">
        <v>7987</v>
      </c>
      <c r="H800">
        <f t="shared" si="45"/>
        <v>0</v>
      </c>
      <c r="I800" s="9" t="str" cm="1">
        <f t="array" ref="I800">_xlfn.LET(_xlpm.total,SUM(D800:G800),_xlpm.maxv,MAX(D800:G800),IF(_xlpm.total=0,"",IF(_xlpm.maxv/_xlpm.total&lt;0.5,"Mixed-Class",_xlfn.IFS(_xlpm.maxv=D800,"Assault",_xlpm.maxv=E800,"Engineer",_xlpm.maxv=F800,"Recon",_xlpm.maxv=G800,"Support"))))</f>
        <v/>
      </c>
      <c r="J800" t="str">
        <f t="shared" si="46"/>
        <v/>
      </c>
      <c r="K800" s="10" t="str">
        <f t="shared" si="47"/>
        <v/>
      </c>
    </row>
    <row r="801" spans="2:11" x14ac:dyDescent="0.25">
      <c r="B801">
        <v>7997</v>
      </c>
      <c r="H801">
        <f t="shared" si="45"/>
        <v>0</v>
      </c>
      <c r="I801" s="9" t="str" cm="1">
        <f t="array" ref="I801">_xlfn.LET(_xlpm.total,SUM(D801:G801),_xlpm.maxv,MAX(D801:G801),IF(_xlpm.total=0,"",IF(_xlpm.maxv/_xlpm.total&lt;0.5,"Mixed-Class",_xlfn.IFS(_xlpm.maxv=D801,"Assault",_xlpm.maxv=E801,"Engineer",_xlpm.maxv=F801,"Recon",_xlpm.maxv=G801,"Support"))))</f>
        <v/>
      </c>
      <c r="J801" t="str">
        <f t="shared" si="46"/>
        <v/>
      </c>
      <c r="K801" s="10" t="str">
        <f t="shared" si="47"/>
        <v/>
      </c>
    </row>
    <row r="802" spans="2:11" x14ac:dyDescent="0.25">
      <c r="B802">
        <v>8007</v>
      </c>
      <c r="H802">
        <f t="shared" si="45"/>
        <v>0</v>
      </c>
      <c r="I802" s="9" t="str" cm="1">
        <f t="array" ref="I802">_xlfn.LET(_xlpm.total,SUM(D802:G802),_xlpm.maxv,MAX(D802:G802),IF(_xlpm.total=0,"",IF(_xlpm.maxv/_xlpm.total&lt;0.5,"Mixed-Class",_xlfn.IFS(_xlpm.maxv=D802,"Assault",_xlpm.maxv=E802,"Engineer",_xlpm.maxv=F802,"Recon",_xlpm.maxv=G802,"Support"))))</f>
        <v/>
      </c>
      <c r="J802" t="str">
        <f t="shared" si="46"/>
        <v/>
      </c>
      <c r="K802" s="10" t="str">
        <f t="shared" si="47"/>
        <v/>
      </c>
    </row>
    <row r="803" spans="2:11" x14ac:dyDescent="0.25">
      <c r="B803">
        <v>8017</v>
      </c>
      <c r="H803">
        <f t="shared" si="45"/>
        <v>0</v>
      </c>
      <c r="I803" s="9" t="str" cm="1">
        <f t="array" ref="I803">_xlfn.LET(_xlpm.total,SUM(D803:G803),_xlpm.maxv,MAX(D803:G803),IF(_xlpm.total=0,"",IF(_xlpm.maxv/_xlpm.total&lt;0.5,"Mixed-Class",_xlfn.IFS(_xlpm.maxv=D803,"Assault",_xlpm.maxv=E803,"Engineer",_xlpm.maxv=F803,"Recon",_xlpm.maxv=G803,"Support"))))</f>
        <v/>
      </c>
      <c r="J803" t="str">
        <f t="shared" si="46"/>
        <v/>
      </c>
      <c r="K803" s="10" t="str">
        <f t="shared" si="47"/>
        <v/>
      </c>
    </row>
    <row r="804" spans="2:11" x14ac:dyDescent="0.25">
      <c r="B804">
        <v>8027</v>
      </c>
      <c r="H804">
        <f t="shared" si="45"/>
        <v>0</v>
      </c>
      <c r="I804" s="9" t="str" cm="1">
        <f t="array" ref="I804">_xlfn.LET(_xlpm.total,SUM(D804:G804),_xlpm.maxv,MAX(D804:G804),IF(_xlpm.total=0,"",IF(_xlpm.maxv/_xlpm.total&lt;0.5,"Mixed-Class",_xlfn.IFS(_xlpm.maxv=D804,"Assault",_xlpm.maxv=E804,"Engineer",_xlpm.maxv=F804,"Recon",_xlpm.maxv=G804,"Support"))))</f>
        <v/>
      </c>
      <c r="J804" t="str">
        <f t="shared" si="46"/>
        <v/>
      </c>
      <c r="K804" s="10" t="str">
        <f t="shared" si="47"/>
        <v/>
      </c>
    </row>
    <row r="805" spans="2:11" x14ac:dyDescent="0.25">
      <c r="B805">
        <v>8037</v>
      </c>
      <c r="H805">
        <f t="shared" si="45"/>
        <v>0</v>
      </c>
      <c r="I805" s="9" t="str" cm="1">
        <f t="array" ref="I805">_xlfn.LET(_xlpm.total,SUM(D805:G805),_xlpm.maxv,MAX(D805:G805),IF(_xlpm.total=0,"",IF(_xlpm.maxv/_xlpm.total&lt;0.5,"Mixed-Class",_xlfn.IFS(_xlpm.maxv=D805,"Assault",_xlpm.maxv=E805,"Engineer",_xlpm.maxv=F805,"Recon",_xlpm.maxv=G805,"Support"))))</f>
        <v/>
      </c>
      <c r="J805" t="str">
        <f t="shared" si="46"/>
        <v/>
      </c>
      <c r="K805" s="10" t="str">
        <f t="shared" si="47"/>
        <v/>
      </c>
    </row>
    <row r="806" spans="2:11" x14ac:dyDescent="0.25">
      <c r="B806">
        <v>8047</v>
      </c>
      <c r="H806">
        <f t="shared" si="45"/>
        <v>0</v>
      </c>
      <c r="I806" s="9" t="str" cm="1">
        <f t="array" ref="I806">_xlfn.LET(_xlpm.total,SUM(D806:G806),_xlpm.maxv,MAX(D806:G806),IF(_xlpm.total=0,"",IF(_xlpm.maxv/_xlpm.total&lt;0.5,"Mixed-Class",_xlfn.IFS(_xlpm.maxv=D806,"Assault",_xlpm.maxv=E806,"Engineer",_xlpm.maxv=F806,"Recon",_xlpm.maxv=G806,"Support"))))</f>
        <v/>
      </c>
      <c r="J806" t="str">
        <f t="shared" si="46"/>
        <v/>
      </c>
      <c r="K806" s="10" t="str">
        <f t="shared" si="47"/>
        <v/>
      </c>
    </row>
    <row r="807" spans="2:11" x14ac:dyDescent="0.25">
      <c r="B807">
        <v>8057</v>
      </c>
      <c r="H807">
        <f t="shared" si="45"/>
        <v>0</v>
      </c>
      <c r="I807" s="9" t="str" cm="1">
        <f t="array" ref="I807">_xlfn.LET(_xlpm.total,SUM(D807:G807),_xlpm.maxv,MAX(D807:G807),IF(_xlpm.total=0,"",IF(_xlpm.maxv/_xlpm.total&lt;0.5,"Mixed-Class",_xlfn.IFS(_xlpm.maxv=D807,"Assault",_xlpm.maxv=E807,"Engineer",_xlpm.maxv=F807,"Recon",_xlpm.maxv=G807,"Support"))))</f>
        <v/>
      </c>
      <c r="J807" t="str">
        <f t="shared" si="46"/>
        <v/>
      </c>
      <c r="K807" s="10" t="str">
        <f t="shared" si="47"/>
        <v/>
      </c>
    </row>
    <row r="808" spans="2:11" x14ac:dyDescent="0.25">
      <c r="B808">
        <v>8067</v>
      </c>
      <c r="H808">
        <f t="shared" si="45"/>
        <v>0</v>
      </c>
      <c r="I808" s="9" t="str" cm="1">
        <f t="array" ref="I808">_xlfn.LET(_xlpm.total,SUM(D808:G808),_xlpm.maxv,MAX(D808:G808),IF(_xlpm.total=0,"",IF(_xlpm.maxv/_xlpm.total&lt;0.5,"Mixed-Class",_xlfn.IFS(_xlpm.maxv=D808,"Assault",_xlpm.maxv=E808,"Engineer",_xlpm.maxv=F808,"Recon",_xlpm.maxv=G808,"Support"))))</f>
        <v/>
      </c>
      <c r="J808" t="str">
        <f t="shared" si="46"/>
        <v/>
      </c>
      <c r="K808" s="10" t="str">
        <f t="shared" si="47"/>
        <v/>
      </c>
    </row>
    <row r="809" spans="2:11" x14ac:dyDescent="0.25">
      <c r="B809">
        <v>8077</v>
      </c>
      <c r="H809">
        <f t="shared" si="45"/>
        <v>0</v>
      </c>
      <c r="I809" s="9" t="str" cm="1">
        <f t="array" ref="I809">_xlfn.LET(_xlpm.total,SUM(D809:G809),_xlpm.maxv,MAX(D809:G809),IF(_xlpm.total=0,"",IF(_xlpm.maxv/_xlpm.total&lt;0.5,"Mixed-Class",_xlfn.IFS(_xlpm.maxv=D809,"Assault",_xlpm.maxv=E809,"Engineer",_xlpm.maxv=F809,"Recon",_xlpm.maxv=G809,"Support"))))</f>
        <v/>
      </c>
      <c r="J809" t="str">
        <f t="shared" si="46"/>
        <v/>
      </c>
      <c r="K809" s="10" t="str">
        <f t="shared" si="47"/>
        <v/>
      </c>
    </row>
    <row r="810" spans="2:11" x14ac:dyDescent="0.25">
      <c r="B810">
        <v>8087</v>
      </c>
      <c r="H810">
        <f t="shared" si="45"/>
        <v>0</v>
      </c>
      <c r="I810" s="9" t="str" cm="1">
        <f t="array" ref="I810">_xlfn.LET(_xlpm.total,SUM(D810:G810),_xlpm.maxv,MAX(D810:G810),IF(_xlpm.total=0,"",IF(_xlpm.maxv/_xlpm.total&lt;0.5,"Mixed-Class",_xlfn.IFS(_xlpm.maxv=D810,"Assault",_xlpm.maxv=E810,"Engineer",_xlpm.maxv=F810,"Recon",_xlpm.maxv=G810,"Support"))))</f>
        <v/>
      </c>
      <c r="J810" t="str">
        <f t="shared" si="46"/>
        <v/>
      </c>
      <c r="K810" s="10" t="str">
        <f t="shared" si="47"/>
        <v/>
      </c>
    </row>
    <row r="811" spans="2:11" x14ac:dyDescent="0.25">
      <c r="B811">
        <v>8097</v>
      </c>
      <c r="H811">
        <f t="shared" si="45"/>
        <v>0</v>
      </c>
      <c r="I811" s="9" t="str" cm="1">
        <f t="array" ref="I811">_xlfn.LET(_xlpm.total,SUM(D811:G811),_xlpm.maxv,MAX(D811:G811),IF(_xlpm.total=0,"",IF(_xlpm.maxv/_xlpm.total&lt;0.5,"Mixed-Class",_xlfn.IFS(_xlpm.maxv=D811,"Assault",_xlpm.maxv=E811,"Engineer",_xlpm.maxv=F811,"Recon",_xlpm.maxv=G811,"Support"))))</f>
        <v/>
      </c>
      <c r="J811" t="str">
        <f t="shared" si="46"/>
        <v/>
      </c>
      <c r="K811" s="10" t="str">
        <f t="shared" si="47"/>
        <v/>
      </c>
    </row>
    <row r="812" spans="2:11" x14ac:dyDescent="0.25">
      <c r="B812">
        <v>8107</v>
      </c>
      <c r="H812">
        <f t="shared" si="45"/>
        <v>0</v>
      </c>
      <c r="I812" s="9" t="str" cm="1">
        <f t="array" ref="I812">_xlfn.LET(_xlpm.total,SUM(D812:G812),_xlpm.maxv,MAX(D812:G812),IF(_xlpm.total=0,"",IF(_xlpm.maxv/_xlpm.total&lt;0.5,"Mixed-Class",_xlfn.IFS(_xlpm.maxv=D812,"Assault",_xlpm.maxv=E812,"Engineer",_xlpm.maxv=F812,"Recon",_xlpm.maxv=G812,"Support"))))</f>
        <v/>
      </c>
      <c r="J812" t="str">
        <f t="shared" si="46"/>
        <v/>
      </c>
      <c r="K812" s="10" t="str">
        <f t="shared" si="47"/>
        <v/>
      </c>
    </row>
    <row r="813" spans="2:11" x14ac:dyDescent="0.25">
      <c r="B813">
        <v>8117</v>
      </c>
      <c r="H813">
        <f t="shared" si="45"/>
        <v>0</v>
      </c>
      <c r="I813" s="9" t="str" cm="1">
        <f t="array" ref="I813">_xlfn.LET(_xlpm.total,SUM(D813:G813),_xlpm.maxv,MAX(D813:G813),IF(_xlpm.total=0,"",IF(_xlpm.maxv/_xlpm.total&lt;0.5,"Mixed-Class",_xlfn.IFS(_xlpm.maxv=D813,"Assault",_xlpm.maxv=E813,"Engineer",_xlpm.maxv=F813,"Recon",_xlpm.maxv=G813,"Support"))))</f>
        <v/>
      </c>
      <c r="J813" t="str">
        <f t="shared" si="46"/>
        <v/>
      </c>
      <c r="K813" s="10" t="str">
        <f t="shared" si="47"/>
        <v/>
      </c>
    </row>
    <row r="814" spans="2:11" x14ac:dyDescent="0.25">
      <c r="B814">
        <v>8127</v>
      </c>
      <c r="H814">
        <f t="shared" si="45"/>
        <v>0</v>
      </c>
      <c r="I814" s="9" t="str" cm="1">
        <f t="array" ref="I814">_xlfn.LET(_xlpm.total,SUM(D814:G814),_xlpm.maxv,MAX(D814:G814),IF(_xlpm.total=0,"",IF(_xlpm.maxv/_xlpm.total&lt;0.5,"Mixed-Class",_xlfn.IFS(_xlpm.maxv=D814,"Assault",_xlpm.maxv=E814,"Engineer",_xlpm.maxv=F814,"Recon",_xlpm.maxv=G814,"Support"))))</f>
        <v/>
      </c>
      <c r="J814" t="str">
        <f t="shared" si="46"/>
        <v/>
      </c>
      <c r="K814" s="10" t="str">
        <f t="shared" si="47"/>
        <v/>
      </c>
    </row>
    <row r="815" spans="2:11" x14ac:dyDescent="0.25">
      <c r="B815">
        <v>8137</v>
      </c>
      <c r="H815">
        <f t="shared" si="45"/>
        <v>0</v>
      </c>
      <c r="I815" s="9" t="str" cm="1">
        <f t="array" ref="I815">_xlfn.LET(_xlpm.total,SUM(D815:G815),_xlpm.maxv,MAX(D815:G815),IF(_xlpm.total=0,"",IF(_xlpm.maxv/_xlpm.total&lt;0.5,"Mixed-Class",_xlfn.IFS(_xlpm.maxv=D815,"Assault",_xlpm.maxv=E815,"Engineer",_xlpm.maxv=F815,"Recon",_xlpm.maxv=G815,"Support"))))</f>
        <v/>
      </c>
      <c r="J815" t="str">
        <f t="shared" si="46"/>
        <v/>
      </c>
      <c r="K815" s="10" t="str">
        <f t="shared" si="47"/>
        <v/>
      </c>
    </row>
    <row r="816" spans="2:11" x14ac:dyDescent="0.25">
      <c r="B816">
        <v>8147</v>
      </c>
      <c r="H816">
        <f t="shared" si="45"/>
        <v>0</v>
      </c>
      <c r="I816" s="9" t="str" cm="1">
        <f t="array" ref="I816">_xlfn.LET(_xlpm.total,SUM(D816:G816),_xlpm.maxv,MAX(D816:G816),IF(_xlpm.total=0,"",IF(_xlpm.maxv/_xlpm.total&lt;0.5,"Mixed-Class",_xlfn.IFS(_xlpm.maxv=D816,"Assault",_xlpm.maxv=E816,"Engineer",_xlpm.maxv=F816,"Recon",_xlpm.maxv=G816,"Support"))))</f>
        <v/>
      </c>
      <c r="J816" t="str">
        <f t="shared" si="46"/>
        <v/>
      </c>
      <c r="K816" s="10" t="str">
        <f t="shared" si="47"/>
        <v/>
      </c>
    </row>
    <row r="817" spans="2:11" x14ac:dyDescent="0.25">
      <c r="B817">
        <v>8157</v>
      </c>
      <c r="H817">
        <f t="shared" si="45"/>
        <v>0</v>
      </c>
      <c r="I817" s="9" t="str" cm="1">
        <f t="array" ref="I817">_xlfn.LET(_xlpm.total,SUM(D817:G817),_xlpm.maxv,MAX(D817:G817),IF(_xlpm.total=0,"",IF(_xlpm.maxv/_xlpm.total&lt;0.5,"Mixed-Class",_xlfn.IFS(_xlpm.maxv=D817,"Assault",_xlpm.maxv=E817,"Engineer",_xlpm.maxv=F817,"Recon",_xlpm.maxv=G817,"Support"))))</f>
        <v/>
      </c>
      <c r="J817" t="str">
        <f t="shared" si="46"/>
        <v/>
      </c>
      <c r="K817" s="10" t="str">
        <f t="shared" si="47"/>
        <v/>
      </c>
    </row>
    <row r="818" spans="2:11" x14ac:dyDescent="0.25">
      <c r="B818">
        <v>8167</v>
      </c>
      <c r="H818">
        <f t="shared" si="45"/>
        <v>0</v>
      </c>
      <c r="I818" s="9" t="str" cm="1">
        <f t="array" ref="I818">_xlfn.LET(_xlpm.total,SUM(D818:G818),_xlpm.maxv,MAX(D818:G818),IF(_xlpm.total=0,"",IF(_xlpm.maxv/_xlpm.total&lt;0.5,"Mixed-Class",_xlfn.IFS(_xlpm.maxv=D818,"Assault",_xlpm.maxv=E818,"Engineer",_xlpm.maxv=F818,"Recon",_xlpm.maxv=G818,"Support"))))</f>
        <v/>
      </c>
      <c r="J818" t="str">
        <f t="shared" si="46"/>
        <v/>
      </c>
      <c r="K818" s="10" t="str">
        <f t="shared" si="47"/>
        <v/>
      </c>
    </row>
    <row r="819" spans="2:11" x14ac:dyDescent="0.25">
      <c r="B819">
        <v>8177</v>
      </c>
      <c r="H819">
        <f t="shared" si="45"/>
        <v>0</v>
      </c>
      <c r="I819" s="9" t="str" cm="1">
        <f t="array" ref="I819">_xlfn.LET(_xlpm.total,SUM(D819:G819),_xlpm.maxv,MAX(D819:G819),IF(_xlpm.total=0,"",IF(_xlpm.maxv/_xlpm.total&lt;0.5,"Mixed-Class",_xlfn.IFS(_xlpm.maxv=D819,"Assault",_xlpm.maxv=E819,"Engineer",_xlpm.maxv=F819,"Recon",_xlpm.maxv=G819,"Support"))))</f>
        <v/>
      </c>
      <c r="J819" t="str">
        <f t="shared" si="46"/>
        <v/>
      </c>
      <c r="K819" s="10" t="str">
        <f t="shared" si="47"/>
        <v/>
      </c>
    </row>
    <row r="820" spans="2:11" x14ac:dyDescent="0.25">
      <c r="B820">
        <v>8187</v>
      </c>
      <c r="H820">
        <f t="shared" si="45"/>
        <v>0</v>
      </c>
      <c r="I820" s="9" t="str" cm="1">
        <f t="array" ref="I820">_xlfn.LET(_xlpm.total,SUM(D820:G820),_xlpm.maxv,MAX(D820:G820),IF(_xlpm.total=0,"",IF(_xlpm.maxv/_xlpm.total&lt;0.5,"Mixed-Class",_xlfn.IFS(_xlpm.maxv=D820,"Assault",_xlpm.maxv=E820,"Engineer",_xlpm.maxv=F820,"Recon",_xlpm.maxv=G820,"Support"))))</f>
        <v/>
      </c>
      <c r="J820" t="str">
        <f t="shared" si="46"/>
        <v/>
      </c>
      <c r="K820" s="10" t="str">
        <f t="shared" si="47"/>
        <v/>
      </c>
    </row>
    <row r="821" spans="2:11" x14ac:dyDescent="0.25">
      <c r="B821">
        <v>8197</v>
      </c>
      <c r="H821">
        <f t="shared" si="45"/>
        <v>0</v>
      </c>
      <c r="I821" s="9" t="str" cm="1">
        <f t="array" ref="I821">_xlfn.LET(_xlpm.total,SUM(D821:G821),_xlpm.maxv,MAX(D821:G821),IF(_xlpm.total=0,"",IF(_xlpm.maxv/_xlpm.total&lt;0.5,"Mixed-Class",_xlfn.IFS(_xlpm.maxv=D821,"Assault",_xlpm.maxv=E821,"Engineer",_xlpm.maxv=F821,"Recon",_xlpm.maxv=G821,"Support"))))</f>
        <v/>
      </c>
      <c r="J821" t="str">
        <f t="shared" si="46"/>
        <v/>
      </c>
      <c r="K821" s="10" t="str">
        <f t="shared" si="47"/>
        <v/>
      </c>
    </row>
    <row r="822" spans="2:11" x14ac:dyDescent="0.25">
      <c r="B822">
        <v>8207</v>
      </c>
      <c r="H822">
        <f t="shared" si="45"/>
        <v>0</v>
      </c>
      <c r="I822" s="9" t="str" cm="1">
        <f t="array" ref="I822">_xlfn.LET(_xlpm.total,SUM(D822:G822),_xlpm.maxv,MAX(D822:G822),IF(_xlpm.total=0,"",IF(_xlpm.maxv/_xlpm.total&lt;0.5,"Mixed-Class",_xlfn.IFS(_xlpm.maxv=D822,"Assault",_xlpm.maxv=E822,"Engineer",_xlpm.maxv=F822,"Recon",_xlpm.maxv=G822,"Support"))))</f>
        <v/>
      </c>
      <c r="J822" t="str">
        <f t="shared" si="46"/>
        <v/>
      </c>
      <c r="K822" s="10" t="str">
        <f t="shared" si="47"/>
        <v/>
      </c>
    </row>
    <row r="823" spans="2:11" x14ac:dyDescent="0.25">
      <c r="B823">
        <v>8217</v>
      </c>
      <c r="H823">
        <f t="shared" si="45"/>
        <v>0</v>
      </c>
      <c r="I823" s="9" t="str" cm="1">
        <f t="array" ref="I823">_xlfn.LET(_xlpm.total,SUM(D823:G823),_xlpm.maxv,MAX(D823:G823),IF(_xlpm.total=0,"",IF(_xlpm.maxv/_xlpm.total&lt;0.5,"Mixed-Class",_xlfn.IFS(_xlpm.maxv=D823,"Assault",_xlpm.maxv=E823,"Engineer",_xlpm.maxv=F823,"Recon",_xlpm.maxv=G823,"Support"))))</f>
        <v/>
      </c>
      <c r="J823" t="str">
        <f t="shared" si="46"/>
        <v/>
      </c>
      <c r="K823" s="10" t="str">
        <f t="shared" si="47"/>
        <v/>
      </c>
    </row>
    <row r="824" spans="2:11" x14ac:dyDescent="0.25">
      <c r="B824">
        <v>8227</v>
      </c>
      <c r="H824">
        <f t="shared" si="45"/>
        <v>0</v>
      </c>
      <c r="I824" s="9" t="str" cm="1">
        <f t="array" ref="I824">_xlfn.LET(_xlpm.total,SUM(D824:G824),_xlpm.maxv,MAX(D824:G824),IF(_xlpm.total=0,"",IF(_xlpm.maxv/_xlpm.total&lt;0.5,"Mixed-Class",_xlfn.IFS(_xlpm.maxv=D824,"Assault",_xlpm.maxv=E824,"Engineer",_xlpm.maxv=F824,"Recon",_xlpm.maxv=G824,"Support"))))</f>
        <v/>
      </c>
      <c r="J824" t="str">
        <f t="shared" si="46"/>
        <v/>
      </c>
      <c r="K824" s="10" t="str">
        <f t="shared" si="47"/>
        <v/>
      </c>
    </row>
    <row r="825" spans="2:11" x14ac:dyDescent="0.25">
      <c r="B825">
        <v>8237</v>
      </c>
      <c r="H825">
        <f t="shared" si="45"/>
        <v>0</v>
      </c>
      <c r="I825" s="9" t="str" cm="1">
        <f t="array" ref="I825">_xlfn.LET(_xlpm.total,SUM(D825:G825),_xlpm.maxv,MAX(D825:G825),IF(_xlpm.total=0,"",IF(_xlpm.maxv/_xlpm.total&lt;0.5,"Mixed-Class",_xlfn.IFS(_xlpm.maxv=D825,"Assault",_xlpm.maxv=E825,"Engineer",_xlpm.maxv=F825,"Recon",_xlpm.maxv=G825,"Support"))))</f>
        <v/>
      </c>
      <c r="J825" t="str">
        <f t="shared" si="46"/>
        <v/>
      </c>
      <c r="K825" s="10" t="str">
        <f t="shared" si="47"/>
        <v/>
      </c>
    </row>
    <row r="826" spans="2:11" x14ac:dyDescent="0.25">
      <c r="B826">
        <v>8247</v>
      </c>
      <c r="H826">
        <f t="shared" si="45"/>
        <v>0</v>
      </c>
      <c r="I826" s="9" t="str" cm="1">
        <f t="array" ref="I826">_xlfn.LET(_xlpm.total,SUM(D826:G826),_xlpm.maxv,MAX(D826:G826),IF(_xlpm.total=0,"",IF(_xlpm.maxv/_xlpm.total&lt;0.5,"Mixed-Class",_xlfn.IFS(_xlpm.maxv=D826,"Assault",_xlpm.maxv=E826,"Engineer",_xlpm.maxv=F826,"Recon",_xlpm.maxv=G826,"Support"))))</f>
        <v/>
      </c>
      <c r="J826" t="str">
        <f t="shared" si="46"/>
        <v/>
      </c>
      <c r="K826" s="10" t="str">
        <f t="shared" si="47"/>
        <v/>
      </c>
    </row>
    <row r="827" spans="2:11" x14ac:dyDescent="0.25">
      <c r="B827">
        <v>8257</v>
      </c>
      <c r="H827">
        <f t="shared" si="45"/>
        <v>0</v>
      </c>
      <c r="I827" s="9" t="str" cm="1">
        <f t="array" ref="I827">_xlfn.LET(_xlpm.total,SUM(D827:G827),_xlpm.maxv,MAX(D827:G827),IF(_xlpm.total=0,"",IF(_xlpm.maxv/_xlpm.total&lt;0.5,"Mixed-Class",_xlfn.IFS(_xlpm.maxv=D827,"Assault",_xlpm.maxv=E827,"Engineer",_xlpm.maxv=F827,"Recon",_xlpm.maxv=G827,"Support"))))</f>
        <v/>
      </c>
      <c r="J827" t="str">
        <f t="shared" si="46"/>
        <v/>
      </c>
      <c r="K827" s="10" t="str">
        <f t="shared" si="47"/>
        <v/>
      </c>
    </row>
    <row r="828" spans="2:11" x14ac:dyDescent="0.25">
      <c r="B828">
        <v>8267</v>
      </c>
      <c r="H828">
        <f t="shared" si="45"/>
        <v>0</v>
      </c>
      <c r="I828" s="9" t="str" cm="1">
        <f t="array" ref="I828">_xlfn.LET(_xlpm.total,SUM(D828:G828),_xlpm.maxv,MAX(D828:G828),IF(_xlpm.total=0,"",IF(_xlpm.maxv/_xlpm.total&lt;0.5,"Mixed-Class",_xlfn.IFS(_xlpm.maxv=D828,"Assault",_xlpm.maxv=E828,"Engineer",_xlpm.maxv=F828,"Recon",_xlpm.maxv=G828,"Support"))))</f>
        <v/>
      </c>
      <c r="J828" t="str">
        <f t="shared" si="46"/>
        <v/>
      </c>
      <c r="K828" s="10" t="str">
        <f t="shared" si="47"/>
        <v/>
      </c>
    </row>
    <row r="829" spans="2:11" x14ac:dyDescent="0.25">
      <c r="B829">
        <v>8277</v>
      </c>
      <c r="H829">
        <f t="shared" si="45"/>
        <v>0</v>
      </c>
      <c r="I829" s="9" t="str" cm="1">
        <f t="array" ref="I829">_xlfn.LET(_xlpm.total,SUM(D829:G829),_xlpm.maxv,MAX(D829:G829),IF(_xlpm.total=0,"",IF(_xlpm.maxv/_xlpm.total&lt;0.5,"Mixed-Class",_xlfn.IFS(_xlpm.maxv=D829,"Assault",_xlpm.maxv=E829,"Engineer",_xlpm.maxv=F829,"Recon",_xlpm.maxv=G829,"Support"))))</f>
        <v/>
      </c>
      <c r="J829" t="str">
        <f t="shared" si="46"/>
        <v/>
      </c>
      <c r="K829" s="10" t="str">
        <f t="shared" si="47"/>
        <v/>
      </c>
    </row>
    <row r="830" spans="2:11" x14ac:dyDescent="0.25">
      <c r="B830">
        <v>8287</v>
      </c>
      <c r="H830">
        <f t="shared" si="45"/>
        <v>0</v>
      </c>
      <c r="I830" s="9" t="str" cm="1">
        <f t="array" ref="I830">_xlfn.LET(_xlpm.total,SUM(D830:G830),_xlpm.maxv,MAX(D830:G830),IF(_xlpm.total=0,"",IF(_xlpm.maxv/_xlpm.total&lt;0.5,"Mixed-Class",_xlfn.IFS(_xlpm.maxv=D830,"Assault",_xlpm.maxv=E830,"Engineer",_xlpm.maxv=F830,"Recon",_xlpm.maxv=G830,"Support"))))</f>
        <v/>
      </c>
      <c r="J830" t="str">
        <f t="shared" si="46"/>
        <v/>
      </c>
      <c r="K830" s="10" t="str">
        <f t="shared" si="47"/>
        <v/>
      </c>
    </row>
    <row r="831" spans="2:11" x14ac:dyDescent="0.25">
      <c r="B831">
        <v>8297</v>
      </c>
      <c r="H831">
        <f t="shared" si="45"/>
        <v>0</v>
      </c>
      <c r="I831" s="9" t="str" cm="1">
        <f t="array" ref="I831">_xlfn.LET(_xlpm.total,SUM(D831:G831),_xlpm.maxv,MAX(D831:G831),IF(_xlpm.total=0,"",IF(_xlpm.maxv/_xlpm.total&lt;0.5,"Mixed-Class",_xlfn.IFS(_xlpm.maxv=D831,"Assault",_xlpm.maxv=E831,"Engineer",_xlpm.maxv=F831,"Recon",_xlpm.maxv=G831,"Support"))))</f>
        <v/>
      </c>
      <c r="J831" t="str">
        <f t="shared" si="46"/>
        <v/>
      </c>
      <c r="K831" s="10" t="str">
        <f t="shared" si="47"/>
        <v/>
      </c>
    </row>
    <row r="832" spans="2:11" x14ac:dyDescent="0.25">
      <c r="B832">
        <v>8307</v>
      </c>
      <c r="H832">
        <f t="shared" si="45"/>
        <v>0</v>
      </c>
      <c r="I832" s="9" t="str" cm="1">
        <f t="array" ref="I832">_xlfn.LET(_xlpm.total,SUM(D832:G832),_xlpm.maxv,MAX(D832:G832),IF(_xlpm.total=0,"",IF(_xlpm.maxv/_xlpm.total&lt;0.5,"Mixed-Class",_xlfn.IFS(_xlpm.maxv=D832,"Assault",_xlpm.maxv=E832,"Engineer",_xlpm.maxv=F832,"Recon",_xlpm.maxv=G832,"Support"))))</f>
        <v/>
      </c>
      <c r="J832" t="str">
        <f t="shared" si="46"/>
        <v/>
      </c>
      <c r="K832" s="10" t="str">
        <f t="shared" si="47"/>
        <v/>
      </c>
    </row>
    <row r="833" spans="2:11" x14ac:dyDescent="0.25">
      <c r="B833">
        <v>8317</v>
      </c>
      <c r="H833">
        <f t="shared" si="45"/>
        <v>0</v>
      </c>
      <c r="I833" s="9" t="str" cm="1">
        <f t="array" ref="I833">_xlfn.LET(_xlpm.total,SUM(D833:G833),_xlpm.maxv,MAX(D833:G833),IF(_xlpm.total=0,"",IF(_xlpm.maxv/_xlpm.total&lt;0.5,"Mixed-Class",_xlfn.IFS(_xlpm.maxv=D833,"Assault",_xlpm.maxv=E833,"Engineer",_xlpm.maxv=F833,"Recon",_xlpm.maxv=G833,"Support"))))</f>
        <v/>
      </c>
      <c r="J833" t="str">
        <f t="shared" si="46"/>
        <v/>
      </c>
      <c r="K833" s="10" t="str">
        <f t="shared" si="47"/>
        <v/>
      </c>
    </row>
    <row r="834" spans="2:11" x14ac:dyDescent="0.25">
      <c r="B834">
        <v>8327</v>
      </c>
      <c r="H834">
        <f t="shared" si="45"/>
        <v>0</v>
      </c>
      <c r="I834" s="9" t="str" cm="1">
        <f t="array" ref="I834">_xlfn.LET(_xlpm.total,SUM(D834:G834),_xlpm.maxv,MAX(D834:G834),IF(_xlpm.total=0,"",IF(_xlpm.maxv/_xlpm.total&lt;0.5,"Mixed-Class",_xlfn.IFS(_xlpm.maxv=D834,"Assault",_xlpm.maxv=E834,"Engineer",_xlpm.maxv=F834,"Recon",_xlpm.maxv=G834,"Support"))))</f>
        <v/>
      </c>
      <c r="J834" t="str">
        <f t="shared" si="46"/>
        <v/>
      </c>
      <c r="K834" s="10" t="str">
        <f t="shared" si="47"/>
        <v/>
      </c>
    </row>
    <row r="835" spans="2:11" x14ac:dyDescent="0.25">
      <c r="B835">
        <v>8337</v>
      </c>
      <c r="H835">
        <f t="shared" ref="H835:H898" si="48">SUM(D835:G835)</f>
        <v>0</v>
      </c>
      <c r="I835" s="9" t="str" cm="1">
        <f t="array" ref="I835">_xlfn.LET(_xlpm.total,SUM(D835:G835),_xlpm.maxv,MAX(D835:G835),IF(_xlpm.total=0,"",IF(_xlpm.maxv/_xlpm.total&lt;0.5,"Mixed-Class",_xlfn.IFS(_xlpm.maxv=D835,"Assault",_xlpm.maxv=E835,"Engineer",_xlpm.maxv=F835,"Recon",_xlpm.maxv=G835,"Support"))))</f>
        <v/>
      </c>
      <c r="J835" t="str">
        <f t="shared" ref="J835:J898" si="49">_xlfn.LET(_xlpm.total,SUM(D835:G835),IF(_xlpm.total=0,"",MAX(D835:G835)/_xlpm.total&gt;=0.5))</f>
        <v/>
      </c>
      <c r="K835" s="10" t="str">
        <f t="shared" ref="K835:K898" si="50">_xlfn.LET(_xlpm.total,SUM(D835:G835),IF(_xlpm.total=0,"",MAX(D835:G835)/_xlpm.total))</f>
        <v/>
      </c>
    </row>
    <row r="836" spans="2:11" x14ac:dyDescent="0.25">
      <c r="B836">
        <v>8347</v>
      </c>
      <c r="H836">
        <f t="shared" si="48"/>
        <v>0</v>
      </c>
      <c r="I836" s="9" t="str" cm="1">
        <f t="array" ref="I836">_xlfn.LET(_xlpm.total,SUM(D836:G836),_xlpm.maxv,MAX(D836:G836),IF(_xlpm.total=0,"",IF(_xlpm.maxv/_xlpm.total&lt;0.5,"Mixed-Class",_xlfn.IFS(_xlpm.maxv=D836,"Assault",_xlpm.maxv=E836,"Engineer",_xlpm.maxv=F836,"Recon",_xlpm.maxv=G836,"Support"))))</f>
        <v/>
      </c>
      <c r="J836" t="str">
        <f t="shared" si="49"/>
        <v/>
      </c>
      <c r="K836" s="10" t="str">
        <f t="shared" si="50"/>
        <v/>
      </c>
    </row>
    <row r="837" spans="2:11" x14ac:dyDescent="0.25">
      <c r="B837">
        <v>8357</v>
      </c>
      <c r="H837">
        <f t="shared" si="48"/>
        <v>0</v>
      </c>
      <c r="I837" s="9" t="str" cm="1">
        <f t="array" ref="I837">_xlfn.LET(_xlpm.total,SUM(D837:G837),_xlpm.maxv,MAX(D837:G837),IF(_xlpm.total=0,"",IF(_xlpm.maxv/_xlpm.total&lt;0.5,"Mixed-Class",_xlfn.IFS(_xlpm.maxv=D837,"Assault",_xlpm.maxv=E837,"Engineer",_xlpm.maxv=F837,"Recon",_xlpm.maxv=G837,"Support"))))</f>
        <v/>
      </c>
      <c r="J837" t="str">
        <f t="shared" si="49"/>
        <v/>
      </c>
      <c r="K837" s="10" t="str">
        <f t="shared" si="50"/>
        <v/>
      </c>
    </row>
    <row r="838" spans="2:11" x14ac:dyDescent="0.25">
      <c r="B838">
        <v>8367</v>
      </c>
      <c r="H838">
        <f t="shared" si="48"/>
        <v>0</v>
      </c>
      <c r="I838" s="9" t="str" cm="1">
        <f t="array" ref="I838">_xlfn.LET(_xlpm.total,SUM(D838:G838),_xlpm.maxv,MAX(D838:G838),IF(_xlpm.total=0,"",IF(_xlpm.maxv/_xlpm.total&lt;0.5,"Mixed-Class",_xlfn.IFS(_xlpm.maxv=D838,"Assault",_xlpm.maxv=E838,"Engineer",_xlpm.maxv=F838,"Recon",_xlpm.maxv=G838,"Support"))))</f>
        <v/>
      </c>
      <c r="J838" t="str">
        <f t="shared" si="49"/>
        <v/>
      </c>
      <c r="K838" s="10" t="str">
        <f t="shared" si="50"/>
        <v/>
      </c>
    </row>
    <row r="839" spans="2:11" x14ac:dyDescent="0.25">
      <c r="B839">
        <v>8377</v>
      </c>
      <c r="H839">
        <f t="shared" si="48"/>
        <v>0</v>
      </c>
      <c r="I839" s="9" t="str" cm="1">
        <f t="array" ref="I839">_xlfn.LET(_xlpm.total,SUM(D839:G839),_xlpm.maxv,MAX(D839:G839),IF(_xlpm.total=0,"",IF(_xlpm.maxv/_xlpm.total&lt;0.5,"Mixed-Class",_xlfn.IFS(_xlpm.maxv=D839,"Assault",_xlpm.maxv=E839,"Engineer",_xlpm.maxv=F839,"Recon",_xlpm.maxv=G839,"Support"))))</f>
        <v/>
      </c>
      <c r="J839" t="str">
        <f t="shared" si="49"/>
        <v/>
      </c>
      <c r="K839" s="10" t="str">
        <f t="shared" si="50"/>
        <v/>
      </c>
    </row>
    <row r="840" spans="2:11" x14ac:dyDescent="0.25">
      <c r="B840">
        <v>8387</v>
      </c>
      <c r="H840">
        <f t="shared" si="48"/>
        <v>0</v>
      </c>
      <c r="I840" s="9" t="str" cm="1">
        <f t="array" ref="I840">_xlfn.LET(_xlpm.total,SUM(D840:G840),_xlpm.maxv,MAX(D840:G840),IF(_xlpm.total=0,"",IF(_xlpm.maxv/_xlpm.total&lt;0.5,"Mixed-Class",_xlfn.IFS(_xlpm.maxv=D840,"Assault",_xlpm.maxv=E840,"Engineer",_xlpm.maxv=F840,"Recon",_xlpm.maxv=G840,"Support"))))</f>
        <v/>
      </c>
      <c r="J840" t="str">
        <f t="shared" si="49"/>
        <v/>
      </c>
      <c r="K840" s="10" t="str">
        <f t="shared" si="50"/>
        <v/>
      </c>
    </row>
    <row r="841" spans="2:11" x14ac:dyDescent="0.25">
      <c r="B841">
        <v>8397</v>
      </c>
      <c r="H841">
        <f t="shared" si="48"/>
        <v>0</v>
      </c>
      <c r="I841" s="9" t="str" cm="1">
        <f t="array" ref="I841">_xlfn.LET(_xlpm.total,SUM(D841:G841),_xlpm.maxv,MAX(D841:G841),IF(_xlpm.total=0,"",IF(_xlpm.maxv/_xlpm.total&lt;0.5,"Mixed-Class",_xlfn.IFS(_xlpm.maxv=D841,"Assault",_xlpm.maxv=E841,"Engineer",_xlpm.maxv=F841,"Recon",_xlpm.maxv=G841,"Support"))))</f>
        <v/>
      </c>
      <c r="J841" t="str">
        <f t="shared" si="49"/>
        <v/>
      </c>
      <c r="K841" s="10" t="str">
        <f t="shared" si="50"/>
        <v/>
      </c>
    </row>
    <row r="842" spans="2:11" x14ac:dyDescent="0.25">
      <c r="B842">
        <v>8407</v>
      </c>
      <c r="H842">
        <f t="shared" si="48"/>
        <v>0</v>
      </c>
      <c r="I842" s="9" t="str" cm="1">
        <f t="array" ref="I842">_xlfn.LET(_xlpm.total,SUM(D842:G842),_xlpm.maxv,MAX(D842:G842),IF(_xlpm.total=0,"",IF(_xlpm.maxv/_xlpm.total&lt;0.5,"Mixed-Class",_xlfn.IFS(_xlpm.maxv=D842,"Assault",_xlpm.maxv=E842,"Engineer",_xlpm.maxv=F842,"Recon",_xlpm.maxv=G842,"Support"))))</f>
        <v/>
      </c>
      <c r="J842" t="str">
        <f t="shared" si="49"/>
        <v/>
      </c>
      <c r="K842" s="10" t="str">
        <f t="shared" si="50"/>
        <v/>
      </c>
    </row>
    <row r="843" spans="2:11" x14ac:dyDescent="0.25">
      <c r="B843">
        <v>8417</v>
      </c>
      <c r="H843">
        <f t="shared" si="48"/>
        <v>0</v>
      </c>
      <c r="I843" s="9" t="str" cm="1">
        <f t="array" ref="I843">_xlfn.LET(_xlpm.total,SUM(D843:G843),_xlpm.maxv,MAX(D843:G843),IF(_xlpm.total=0,"",IF(_xlpm.maxv/_xlpm.total&lt;0.5,"Mixed-Class",_xlfn.IFS(_xlpm.maxv=D843,"Assault",_xlpm.maxv=E843,"Engineer",_xlpm.maxv=F843,"Recon",_xlpm.maxv=G843,"Support"))))</f>
        <v/>
      </c>
      <c r="J843" t="str">
        <f t="shared" si="49"/>
        <v/>
      </c>
      <c r="K843" s="10" t="str">
        <f t="shared" si="50"/>
        <v/>
      </c>
    </row>
    <row r="844" spans="2:11" x14ac:dyDescent="0.25">
      <c r="B844">
        <v>8427</v>
      </c>
      <c r="H844">
        <f t="shared" si="48"/>
        <v>0</v>
      </c>
      <c r="I844" s="9" t="str" cm="1">
        <f t="array" ref="I844">_xlfn.LET(_xlpm.total,SUM(D844:G844),_xlpm.maxv,MAX(D844:G844),IF(_xlpm.total=0,"",IF(_xlpm.maxv/_xlpm.total&lt;0.5,"Mixed-Class",_xlfn.IFS(_xlpm.maxv=D844,"Assault",_xlpm.maxv=E844,"Engineer",_xlpm.maxv=F844,"Recon",_xlpm.maxv=G844,"Support"))))</f>
        <v/>
      </c>
      <c r="J844" t="str">
        <f t="shared" si="49"/>
        <v/>
      </c>
      <c r="K844" s="10" t="str">
        <f t="shared" si="50"/>
        <v/>
      </c>
    </row>
    <row r="845" spans="2:11" x14ac:dyDescent="0.25">
      <c r="B845">
        <v>8437</v>
      </c>
      <c r="H845">
        <f t="shared" si="48"/>
        <v>0</v>
      </c>
      <c r="I845" s="9" t="str" cm="1">
        <f t="array" ref="I845">_xlfn.LET(_xlpm.total,SUM(D845:G845),_xlpm.maxv,MAX(D845:G845),IF(_xlpm.total=0,"",IF(_xlpm.maxv/_xlpm.total&lt;0.5,"Mixed-Class",_xlfn.IFS(_xlpm.maxv=D845,"Assault",_xlpm.maxv=E845,"Engineer",_xlpm.maxv=F845,"Recon",_xlpm.maxv=G845,"Support"))))</f>
        <v/>
      </c>
      <c r="J845" t="str">
        <f t="shared" si="49"/>
        <v/>
      </c>
      <c r="K845" s="10" t="str">
        <f t="shared" si="50"/>
        <v/>
      </c>
    </row>
    <row r="846" spans="2:11" x14ac:dyDescent="0.25">
      <c r="B846">
        <v>8447</v>
      </c>
      <c r="H846">
        <f t="shared" si="48"/>
        <v>0</v>
      </c>
      <c r="I846" s="9" t="str" cm="1">
        <f t="array" ref="I846">_xlfn.LET(_xlpm.total,SUM(D846:G846),_xlpm.maxv,MAX(D846:G846),IF(_xlpm.total=0,"",IF(_xlpm.maxv/_xlpm.total&lt;0.5,"Mixed-Class",_xlfn.IFS(_xlpm.maxv=D846,"Assault",_xlpm.maxv=E846,"Engineer",_xlpm.maxv=F846,"Recon",_xlpm.maxv=G846,"Support"))))</f>
        <v/>
      </c>
      <c r="J846" t="str">
        <f t="shared" si="49"/>
        <v/>
      </c>
      <c r="K846" s="10" t="str">
        <f t="shared" si="50"/>
        <v/>
      </c>
    </row>
    <row r="847" spans="2:11" x14ac:dyDescent="0.25">
      <c r="B847">
        <v>8457</v>
      </c>
      <c r="H847">
        <f t="shared" si="48"/>
        <v>0</v>
      </c>
      <c r="I847" s="9" t="str" cm="1">
        <f t="array" ref="I847">_xlfn.LET(_xlpm.total,SUM(D847:G847),_xlpm.maxv,MAX(D847:G847),IF(_xlpm.total=0,"",IF(_xlpm.maxv/_xlpm.total&lt;0.5,"Mixed-Class",_xlfn.IFS(_xlpm.maxv=D847,"Assault",_xlpm.maxv=E847,"Engineer",_xlpm.maxv=F847,"Recon",_xlpm.maxv=G847,"Support"))))</f>
        <v/>
      </c>
      <c r="J847" t="str">
        <f t="shared" si="49"/>
        <v/>
      </c>
      <c r="K847" s="10" t="str">
        <f t="shared" si="50"/>
        <v/>
      </c>
    </row>
    <row r="848" spans="2:11" x14ac:dyDescent="0.25">
      <c r="B848">
        <v>8467</v>
      </c>
      <c r="H848">
        <f t="shared" si="48"/>
        <v>0</v>
      </c>
      <c r="I848" s="9" t="str" cm="1">
        <f t="array" ref="I848">_xlfn.LET(_xlpm.total,SUM(D848:G848),_xlpm.maxv,MAX(D848:G848),IF(_xlpm.total=0,"",IF(_xlpm.maxv/_xlpm.total&lt;0.5,"Mixed-Class",_xlfn.IFS(_xlpm.maxv=D848,"Assault",_xlpm.maxv=E848,"Engineer",_xlpm.maxv=F848,"Recon",_xlpm.maxv=G848,"Support"))))</f>
        <v/>
      </c>
      <c r="J848" t="str">
        <f t="shared" si="49"/>
        <v/>
      </c>
      <c r="K848" s="10" t="str">
        <f t="shared" si="50"/>
        <v/>
      </c>
    </row>
    <row r="849" spans="2:11" x14ac:dyDescent="0.25">
      <c r="B849">
        <v>8477</v>
      </c>
      <c r="H849">
        <f t="shared" si="48"/>
        <v>0</v>
      </c>
      <c r="I849" s="9" t="str" cm="1">
        <f t="array" ref="I849">_xlfn.LET(_xlpm.total,SUM(D849:G849),_xlpm.maxv,MAX(D849:G849),IF(_xlpm.total=0,"",IF(_xlpm.maxv/_xlpm.total&lt;0.5,"Mixed-Class",_xlfn.IFS(_xlpm.maxv=D849,"Assault",_xlpm.maxv=E849,"Engineer",_xlpm.maxv=F849,"Recon",_xlpm.maxv=G849,"Support"))))</f>
        <v/>
      </c>
      <c r="J849" t="str">
        <f t="shared" si="49"/>
        <v/>
      </c>
      <c r="K849" s="10" t="str">
        <f t="shared" si="50"/>
        <v/>
      </c>
    </row>
    <row r="850" spans="2:11" x14ac:dyDescent="0.25">
      <c r="B850">
        <v>8487</v>
      </c>
      <c r="H850">
        <f t="shared" si="48"/>
        <v>0</v>
      </c>
      <c r="I850" s="9" t="str" cm="1">
        <f t="array" ref="I850">_xlfn.LET(_xlpm.total,SUM(D850:G850),_xlpm.maxv,MAX(D850:G850),IF(_xlpm.total=0,"",IF(_xlpm.maxv/_xlpm.total&lt;0.5,"Mixed-Class",_xlfn.IFS(_xlpm.maxv=D850,"Assault",_xlpm.maxv=E850,"Engineer",_xlpm.maxv=F850,"Recon",_xlpm.maxv=G850,"Support"))))</f>
        <v/>
      </c>
      <c r="J850" t="str">
        <f t="shared" si="49"/>
        <v/>
      </c>
      <c r="K850" s="10" t="str">
        <f t="shared" si="50"/>
        <v/>
      </c>
    </row>
    <row r="851" spans="2:11" x14ac:dyDescent="0.25">
      <c r="B851">
        <v>8497</v>
      </c>
      <c r="H851">
        <f t="shared" si="48"/>
        <v>0</v>
      </c>
      <c r="I851" s="9" t="str" cm="1">
        <f t="array" ref="I851">_xlfn.LET(_xlpm.total,SUM(D851:G851),_xlpm.maxv,MAX(D851:G851),IF(_xlpm.total=0,"",IF(_xlpm.maxv/_xlpm.total&lt;0.5,"Mixed-Class",_xlfn.IFS(_xlpm.maxv=D851,"Assault",_xlpm.maxv=E851,"Engineer",_xlpm.maxv=F851,"Recon",_xlpm.maxv=G851,"Support"))))</f>
        <v/>
      </c>
      <c r="J851" t="str">
        <f t="shared" si="49"/>
        <v/>
      </c>
      <c r="K851" s="10" t="str">
        <f t="shared" si="50"/>
        <v/>
      </c>
    </row>
    <row r="852" spans="2:11" x14ac:dyDescent="0.25">
      <c r="B852">
        <v>8507</v>
      </c>
      <c r="H852">
        <f t="shared" si="48"/>
        <v>0</v>
      </c>
      <c r="I852" s="9" t="str" cm="1">
        <f t="array" ref="I852">_xlfn.LET(_xlpm.total,SUM(D852:G852),_xlpm.maxv,MAX(D852:G852),IF(_xlpm.total=0,"",IF(_xlpm.maxv/_xlpm.total&lt;0.5,"Mixed-Class",_xlfn.IFS(_xlpm.maxv=D852,"Assault",_xlpm.maxv=E852,"Engineer",_xlpm.maxv=F852,"Recon",_xlpm.maxv=G852,"Support"))))</f>
        <v/>
      </c>
      <c r="J852" t="str">
        <f t="shared" si="49"/>
        <v/>
      </c>
      <c r="K852" s="10" t="str">
        <f t="shared" si="50"/>
        <v/>
      </c>
    </row>
    <row r="853" spans="2:11" x14ac:dyDescent="0.25">
      <c r="B853">
        <v>8517</v>
      </c>
      <c r="H853">
        <f t="shared" si="48"/>
        <v>0</v>
      </c>
      <c r="I853" s="9" t="str" cm="1">
        <f t="array" ref="I853">_xlfn.LET(_xlpm.total,SUM(D853:G853),_xlpm.maxv,MAX(D853:G853),IF(_xlpm.total=0,"",IF(_xlpm.maxv/_xlpm.total&lt;0.5,"Mixed-Class",_xlfn.IFS(_xlpm.maxv=D853,"Assault",_xlpm.maxv=E853,"Engineer",_xlpm.maxv=F853,"Recon",_xlpm.maxv=G853,"Support"))))</f>
        <v/>
      </c>
      <c r="J853" t="str">
        <f t="shared" si="49"/>
        <v/>
      </c>
      <c r="K853" s="10" t="str">
        <f t="shared" si="50"/>
        <v/>
      </c>
    </row>
    <row r="854" spans="2:11" x14ac:dyDescent="0.25">
      <c r="B854">
        <v>8527</v>
      </c>
      <c r="H854">
        <f t="shared" si="48"/>
        <v>0</v>
      </c>
      <c r="I854" s="9" t="str" cm="1">
        <f t="array" ref="I854">_xlfn.LET(_xlpm.total,SUM(D854:G854),_xlpm.maxv,MAX(D854:G854),IF(_xlpm.total=0,"",IF(_xlpm.maxv/_xlpm.total&lt;0.5,"Mixed-Class",_xlfn.IFS(_xlpm.maxv=D854,"Assault",_xlpm.maxv=E854,"Engineer",_xlpm.maxv=F854,"Recon",_xlpm.maxv=G854,"Support"))))</f>
        <v/>
      </c>
      <c r="J854" t="str">
        <f t="shared" si="49"/>
        <v/>
      </c>
      <c r="K854" s="10" t="str">
        <f t="shared" si="50"/>
        <v/>
      </c>
    </row>
    <row r="855" spans="2:11" x14ac:dyDescent="0.25">
      <c r="B855">
        <v>8537</v>
      </c>
      <c r="H855">
        <f t="shared" si="48"/>
        <v>0</v>
      </c>
      <c r="I855" s="9" t="str" cm="1">
        <f t="array" ref="I855">_xlfn.LET(_xlpm.total,SUM(D855:G855),_xlpm.maxv,MAX(D855:G855),IF(_xlpm.total=0,"",IF(_xlpm.maxv/_xlpm.total&lt;0.5,"Mixed-Class",_xlfn.IFS(_xlpm.maxv=D855,"Assault",_xlpm.maxv=E855,"Engineer",_xlpm.maxv=F855,"Recon",_xlpm.maxv=G855,"Support"))))</f>
        <v/>
      </c>
      <c r="J855" t="str">
        <f t="shared" si="49"/>
        <v/>
      </c>
      <c r="K855" s="10" t="str">
        <f t="shared" si="50"/>
        <v/>
      </c>
    </row>
    <row r="856" spans="2:11" x14ac:dyDescent="0.25">
      <c r="B856">
        <v>8547</v>
      </c>
      <c r="H856">
        <f t="shared" si="48"/>
        <v>0</v>
      </c>
      <c r="I856" s="9" t="str" cm="1">
        <f t="array" ref="I856">_xlfn.LET(_xlpm.total,SUM(D856:G856),_xlpm.maxv,MAX(D856:G856),IF(_xlpm.total=0,"",IF(_xlpm.maxv/_xlpm.total&lt;0.5,"Mixed-Class",_xlfn.IFS(_xlpm.maxv=D856,"Assault",_xlpm.maxv=E856,"Engineer",_xlpm.maxv=F856,"Recon",_xlpm.maxv=G856,"Support"))))</f>
        <v/>
      </c>
      <c r="J856" t="str">
        <f t="shared" si="49"/>
        <v/>
      </c>
      <c r="K856" s="10" t="str">
        <f t="shared" si="50"/>
        <v/>
      </c>
    </row>
    <row r="857" spans="2:11" x14ac:dyDescent="0.25">
      <c r="B857">
        <v>8557</v>
      </c>
      <c r="H857">
        <f t="shared" si="48"/>
        <v>0</v>
      </c>
      <c r="I857" s="9" t="str" cm="1">
        <f t="array" ref="I857">_xlfn.LET(_xlpm.total,SUM(D857:G857),_xlpm.maxv,MAX(D857:G857),IF(_xlpm.total=0,"",IF(_xlpm.maxv/_xlpm.total&lt;0.5,"Mixed-Class",_xlfn.IFS(_xlpm.maxv=D857,"Assault",_xlpm.maxv=E857,"Engineer",_xlpm.maxv=F857,"Recon",_xlpm.maxv=G857,"Support"))))</f>
        <v/>
      </c>
      <c r="J857" t="str">
        <f t="shared" si="49"/>
        <v/>
      </c>
      <c r="K857" s="10" t="str">
        <f t="shared" si="50"/>
        <v/>
      </c>
    </row>
    <row r="858" spans="2:11" x14ac:dyDescent="0.25">
      <c r="B858">
        <v>8567</v>
      </c>
      <c r="H858">
        <f t="shared" si="48"/>
        <v>0</v>
      </c>
      <c r="I858" s="9" t="str" cm="1">
        <f t="array" ref="I858">_xlfn.LET(_xlpm.total,SUM(D858:G858),_xlpm.maxv,MAX(D858:G858),IF(_xlpm.total=0,"",IF(_xlpm.maxv/_xlpm.total&lt;0.5,"Mixed-Class",_xlfn.IFS(_xlpm.maxv=D858,"Assault",_xlpm.maxv=E858,"Engineer",_xlpm.maxv=F858,"Recon",_xlpm.maxv=G858,"Support"))))</f>
        <v/>
      </c>
      <c r="J858" t="str">
        <f t="shared" si="49"/>
        <v/>
      </c>
      <c r="K858" s="10" t="str">
        <f t="shared" si="50"/>
        <v/>
      </c>
    </row>
    <row r="859" spans="2:11" x14ac:dyDescent="0.25">
      <c r="B859">
        <v>8577</v>
      </c>
      <c r="H859">
        <f t="shared" si="48"/>
        <v>0</v>
      </c>
      <c r="I859" s="9" t="str" cm="1">
        <f t="array" ref="I859">_xlfn.LET(_xlpm.total,SUM(D859:G859),_xlpm.maxv,MAX(D859:G859),IF(_xlpm.total=0,"",IF(_xlpm.maxv/_xlpm.total&lt;0.5,"Mixed-Class",_xlfn.IFS(_xlpm.maxv=D859,"Assault",_xlpm.maxv=E859,"Engineer",_xlpm.maxv=F859,"Recon",_xlpm.maxv=G859,"Support"))))</f>
        <v/>
      </c>
      <c r="J859" t="str">
        <f t="shared" si="49"/>
        <v/>
      </c>
      <c r="K859" s="10" t="str">
        <f t="shared" si="50"/>
        <v/>
      </c>
    </row>
    <row r="860" spans="2:11" x14ac:dyDescent="0.25">
      <c r="B860">
        <v>8587</v>
      </c>
      <c r="H860">
        <f t="shared" si="48"/>
        <v>0</v>
      </c>
      <c r="I860" s="9" t="str" cm="1">
        <f t="array" ref="I860">_xlfn.LET(_xlpm.total,SUM(D860:G860),_xlpm.maxv,MAX(D860:G860),IF(_xlpm.total=0,"",IF(_xlpm.maxv/_xlpm.total&lt;0.5,"Mixed-Class",_xlfn.IFS(_xlpm.maxv=D860,"Assault",_xlpm.maxv=E860,"Engineer",_xlpm.maxv=F860,"Recon",_xlpm.maxv=G860,"Support"))))</f>
        <v/>
      </c>
      <c r="J860" t="str">
        <f t="shared" si="49"/>
        <v/>
      </c>
      <c r="K860" s="10" t="str">
        <f t="shared" si="50"/>
        <v/>
      </c>
    </row>
    <row r="861" spans="2:11" x14ac:dyDescent="0.25">
      <c r="B861">
        <v>8597</v>
      </c>
      <c r="H861">
        <f t="shared" si="48"/>
        <v>0</v>
      </c>
      <c r="I861" s="9" t="str" cm="1">
        <f t="array" ref="I861">_xlfn.LET(_xlpm.total,SUM(D861:G861),_xlpm.maxv,MAX(D861:G861),IF(_xlpm.total=0,"",IF(_xlpm.maxv/_xlpm.total&lt;0.5,"Mixed-Class",_xlfn.IFS(_xlpm.maxv=D861,"Assault",_xlpm.maxv=E861,"Engineer",_xlpm.maxv=F861,"Recon",_xlpm.maxv=G861,"Support"))))</f>
        <v/>
      </c>
      <c r="J861" t="str">
        <f t="shared" si="49"/>
        <v/>
      </c>
      <c r="K861" s="10" t="str">
        <f t="shared" si="50"/>
        <v/>
      </c>
    </row>
    <row r="862" spans="2:11" x14ac:dyDescent="0.25">
      <c r="B862">
        <v>8607</v>
      </c>
      <c r="H862">
        <f t="shared" si="48"/>
        <v>0</v>
      </c>
      <c r="I862" s="9" t="str" cm="1">
        <f t="array" ref="I862">_xlfn.LET(_xlpm.total,SUM(D862:G862),_xlpm.maxv,MAX(D862:G862),IF(_xlpm.total=0,"",IF(_xlpm.maxv/_xlpm.total&lt;0.5,"Mixed-Class",_xlfn.IFS(_xlpm.maxv=D862,"Assault",_xlpm.maxv=E862,"Engineer",_xlpm.maxv=F862,"Recon",_xlpm.maxv=G862,"Support"))))</f>
        <v/>
      </c>
      <c r="J862" t="str">
        <f t="shared" si="49"/>
        <v/>
      </c>
      <c r="K862" s="10" t="str">
        <f t="shared" si="50"/>
        <v/>
      </c>
    </row>
    <row r="863" spans="2:11" x14ac:dyDescent="0.25">
      <c r="B863">
        <v>8617</v>
      </c>
      <c r="H863">
        <f t="shared" si="48"/>
        <v>0</v>
      </c>
      <c r="I863" s="9" t="str" cm="1">
        <f t="array" ref="I863">_xlfn.LET(_xlpm.total,SUM(D863:G863),_xlpm.maxv,MAX(D863:G863),IF(_xlpm.total=0,"",IF(_xlpm.maxv/_xlpm.total&lt;0.5,"Mixed-Class",_xlfn.IFS(_xlpm.maxv=D863,"Assault",_xlpm.maxv=E863,"Engineer",_xlpm.maxv=F863,"Recon",_xlpm.maxv=G863,"Support"))))</f>
        <v/>
      </c>
      <c r="J863" t="str">
        <f t="shared" si="49"/>
        <v/>
      </c>
      <c r="K863" s="10" t="str">
        <f t="shared" si="50"/>
        <v/>
      </c>
    </row>
    <row r="864" spans="2:11" x14ac:dyDescent="0.25">
      <c r="B864">
        <v>8627</v>
      </c>
      <c r="H864">
        <f t="shared" si="48"/>
        <v>0</v>
      </c>
      <c r="I864" s="9" t="str" cm="1">
        <f t="array" ref="I864">_xlfn.LET(_xlpm.total,SUM(D864:G864),_xlpm.maxv,MAX(D864:G864),IF(_xlpm.total=0,"",IF(_xlpm.maxv/_xlpm.total&lt;0.5,"Mixed-Class",_xlfn.IFS(_xlpm.maxv=D864,"Assault",_xlpm.maxv=E864,"Engineer",_xlpm.maxv=F864,"Recon",_xlpm.maxv=G864,"Support"))))</f>
        <v/>
      </c>
      <c r="J864" t="str">
        <f t="shared" si="49"/>
        <v/>
      </c>
      <c r="K864" s="10" t="str">
        <f t="shared" si="50"/>
        <v/>
      </c>
    </row>
    <row r="865" spans="2:11" x14ac:dyDescent="0.25">
      <c r="B865">
        <v>8637</v>
      </c>
      <c r="H865">
        <f t="shared" si="48"/>
        <v>0</v>
      </c>
      <c r="I865" s="9" t="str" cm="1">
        <f t="array" ref="I865">_xlfn.LET(_xlpm.total,SUM(D865:G865),_xlpm.maxv,MAX(D865:G865),IF(_xlpm.total=0,"",IF(_xlpm.maxv/_xlpm.total&lt;0.5,"Mixed-Class",_xlfn.IFS(_xlpm.maxv=D865,"Assault",_xlpm.maxv=E865,"Engineer",_xlpm.maxv=F865,"Recon",_xlpm.maxv=G865,"Support"))))</f>
        <v/>
      </c>
      <c r="J865" t="str">
        <f t="shared" si="49"/>
        <v/>
      </c>
      <c r="K865" s="10" t="str">
        <f t="shared" si="50"/>
        <v/>
      </c>
    </row>
    <row r="866" spans="2:11" x14ac:dyDescent="0.25">
      <c r="B866">
        <v>8647</v>
      </c>
      <c r="H866">
        <f t="shared" si="48"/>
        <v>0</v>
      </c>
      <c r="I866" s="9" t="str" cm="1">
        <f t="array" ref="I866">_xlfn.LET(_xlpm.total,SUM(D866:G866),_xlpm.maxv,MAX(D866:G866),IF(_xlpm.total=0,"",IF(_xlpm.maxv/_xlpm.total&lt;0.5,"Mixed-Class",_xlfn.IFS(_xlpm.maxv=D866,"Assault",_xlpm.maxv=E866,"Engineer",_xlpm.maxv=F866,"Recon",_xlpm.maxv=G866,"Support"))))</f>
        <v/>
      </c>
      <c r="J866" t="str">
        <f t="shared" si="49"/>
        <v/>
      </c>
      <c r="K866" s="10" t="str">
        <f t="shared" si="50"/>
        <v/>
      </c>
    </row>
    <row r="867" spans="2:11" x14ac:dyDescent="0.25">
      <c r="B867">
        <v>8657</v>
      </c>
      <c r="H867">
        <f t="shared" si="48"/>
        <v>0</v>
      </c>
      <c r="I867" s="9" t="str" cm="1">
        <f t="array" ref="I867">_xlfn.LET(_xlpm.total,SUM(D867:G867),_xlpm.maxv,MAX(D867:G867),IF(_xlpm.total=0,"",IF(_xlpm.maxv/_xlpm.total&lt;0.5,"Mixed-Class",_xlfn.IFS(_xlpm.maxv=D867,"Assault",_xlpm.maxv=E867,"Engineer",_xlpm.maxv=F867,"Recon",_xlpm.maxv=G867,"Support"))))</f>
        <v/>
      </c>
      <c r="J867" t="str">
        <f t="shared" si="49"/>
        <v/>
      </c>
      <c r="K867" s="10" t="str">
        <f t="shared" si="50"/>
        <v/>
      </c>
    </row>
    <row r="868" spans="2:11" x14ac:dyDescent="0.25">
      <c r="B868">
        <v>8667</v>
      </c>
      <c r="H868">
        <f t="shared" si="48"/>
        <v>0</v>
      </c>
      <c r="I868" s="9" t="str" cm="1">
        <f t="array" ref="I868">_xlfn.LET(_xlpm.total,SUM(D868:G868),_xlpm.maxv,MAX(D868:G868),IF(_xlpm.total=0,"",IF(_xlpm.maxv/_xlpm.total&lt;0.5,"Mixed-Class",_xlfn.IFS(_xlpm.maxv=D868,"Assault",_xlpm.maxv=E868,"Engineer",_xlpm.maxv=F868,"Recon",_xlpm.maxv=G868,"Support"))))</f>
        <v/>
      </c>
      <c r="J868" t="str">
        <f t="shared" si="49"/>
        <v/>
      </c>
      <c r="K868" s="10" t="str">
        <f t="shared" si="50"/>
        <v/>
      </c>
    </row>
    <row r="869" spans="2:11" x14ac:dyDescent="0.25">
      <c r="B869">
        <v>8677</v>
      </c>
      <c r="H869">
        <f t="shared" si="48"/>
        <v>0</v>
      </c>
      <c r="I869" s="9" t="str" cm="1">
        <f t="array" ref="I869">_xlfn.LET(_xlpm.total,SUM(D869:G869),_xlpm.maxv,MAX(D869:G869),IF(_xlpm.total=0,"",IF(_xlpm.maxv/_xlpm.total&lt;0.5,"Mixed-Class",_xlfn.IFS(_xlpm.maxv=D869,"Assault",_xlpm.maxv=E869,"Engineer",_xlpm.maxv=F869,"Recon",_xlpm.maxv=G869,"Support"))))</f>
        <v/>
      </c>
      <c r="J869" t="str">
        <f t="shared" si="49"/>
        <v/>
      </c>
      <c r="K869" s="10" t="str">
        <f t="shared" si="50"/>
        <v/>
      </c>
    </row>
    <row r="870" spans="2:11" x14ac:dyDescent="0.25">
      <c r="B870">
        <v>8687</v>
      </c>
      <c r="H870">
        <f t="shared" si="48"/>
        <v>0</v>
      </c>
      <c r="I870" s="9" t="str" cm="1">
        <f t="array" ref="I870">_xlfn.LET(_xlpm.total,SUM(D870:G870),_xlpm.maxv,MAX(D870:G870),IF(_xlpm.total=0,"",IF(_xlpm.maxv/_xlpm.total&lt;0.5,"Mixed-Class",_xlfn.IFS(_xlpm.maxv=D870,"Assault",_xlpm.maxv=E870,"Engineer",_xlpm.maxv=F870,"Recon",_xlpm.maxv=G870,"Support"))))</f>
        <v/>
      </c>
      <c r="J870" t="str">
        <f t="shared" si="49"/>
        <v/>
      </c>
      <c r="K870" s="10" t="str">
        <f t="shared" si="50"/>
        <v/>
      </c>
    </row>
    <row r="871" spans="2:11" x14ac:dyDescent="0.25">
      <c r="B871">
        <v>8697</v>
      </c>
      <c r="H871">
        <f t="shared" si="48"/>
        <v>0</v>
      </c>
      <c r="I871" s="9" t="str" cm="1">
        <f t="array" ref="I871">_xlfn.LET(_xlpm.total,SUM(D871:G871),_xlpm.maxv,MAX(D871:G871),IF(_xlpm.total=0,"",IF(_xlpm.maxv/_xlpm.total&lt;0.5,"Mixed-Class",_xlfn.IFS(_xlpm.maxv=D871,"Assault",_xlpm.maxv=E871,"Engineer",_xlpm.maxv=F871,"Recon",_xlpm.maxv=G871,"Support"))))</f>
        <v/>
      </c>
      <c r="J871" t="str">
        <f t="shared" si="49"/>
        <v/>
      </c>
      <c r="K871" s="10" t="str">
        <f t="shared" si="50"/>
        <v/>
      </c>
    </row>
    <row r="872" spans="2:11" x14ac:dyDescent="0.25">
      <c r="B872">
        <v>8707</v>
      </c>
      <c r="H872">
        <f t="shared" si="48"/>
        <v>0</v>
      </c>
      <c r="I872" s="9" t="str" cm="1">
        <f t="array" ref="I872">_xlfn.LET(_xlpm.total,SUM(D872:G872),_xlpm.maxv,MAX(D872:G872),IF(_xlpm.total=0,"",IF(_xlpm.maxv/_xlpm.total&lt;0.5,"Mixed-Class",_xlfn.IFS(_xlpm.maxv=D872,"Assault",_xlpm.maxv=E872,"Engineer",_xlpm.maxv=F872,"Recon",_xlpm.maxv=G872,"Support"))))</f>
        <v/>
      </c>
      <c r="J872" t="str">
        <f t="shared" si="49"/>
        <v/>
      </c>
      <c r="K872" s="10" t="str">
        <f t="shared" si="50"/>
        <v/>
      </c>
    </row>
    <row r="873" spans="2:11" x14ac:dyDescent="0.25">
      <c r="B873">
        <v>8717</v>
      </c>
      <c r="H873">
        <f t="shared" si="48"/>
        <v>0</v>
      </c>
      <c r="I873" s="9" t="str" cm="1">
        <f t="array" ref="I873">_xlfn.LET(_xlpm.total,SUM(D873:G873),_xlpm.maxv,MAX(D873:G873),IF(_xlpm.total=0,"",IF(_xlpm.maxv/_xlpm.total&lt;0.5,"Mixed-Class",_xlfn.IFS(_xlpm.maxv=D873,"Assault",_xlpm.maxv=E873,"Engineer",_xlpm.maxv=F873,"Recon",_xlpm.maxv=G873,"Support"))))</f>
        <v/>
      </c>
      <c r="J873" t="str">
        <f t="shared" si="49"/>
        <v/>
      </c>
      <c r="K873" s="10" t="str">
        <f t="shared" si="50"/>
        <v/>
      </c>
    </row>
    <row r="874" spans="2:11" x14ac:dyDescent="0.25">
      <c r="B874">
        <v>8727</v>
      </c>
      <c r="H874">
        <f t="shared" si="48"/>
        <v>0</v>
      </c>
      <c r="I874" s="9" t="str" cm="1">
        <f t="array" ref="I874">_xlfn.LET(_xlpm.total,SUM(D874:G874),_xlpm.maxv,MAX(D874:G874),IF(_xlpm.total=0,"",IF(_xlpm.maxv/_xlpm.total&lt;0.5,"Mixed-Class",_xlfn.IFS(_xlpm.maxv=D874,"Assault",_xlpm.maxv=E874,"Engineer",_xlpm.maxv=F874,"Recon",_xlpm.maxv=G874,"Support"))))</f>
        <v/>
      </c>
      <c r="J874" t="str">
        <f t="shared" si="49"/>
        <v/>
      </c>
      <c r="K874" s="10" t="str">
        <f t="shared" si="50"/>
        <v/>
      </c>
    </row>
    <row r="875" spans="2:11" x14ac:dyDescent="0.25">
      <c r="B875">
        <v>8737</v>
      </c>
      <c r="H875">
        <f t="shared" si="48"/>
        <v>0</v>
      </c>
      <c r="I875" s="9" t="str" cm="1">
        <f t="array" ref="I875">_xlfn.LET(_xlpm.total,SUM(D875:G875),_xlpm.maxv,MAX(D875:G875),IF(_xlpm.total=0,"",IF(_xlpm.maxv/_xlpm.total&lt;0.5,"Mixed-Class",_xlfn.IFS(_xlpm.maxv=D875,"Assault",_xlpm.maxv=E875,"Engineer",_xlpm.maxv=F875,"Recon",_xlpm.maxv=G875,"Support"))))</f>
        <v/>
      </c>
      <c r="J875" t="str">
        <f t="shared" si="49"/>
        <v/>
      </c>
      <c r="K875" s="10" t="str">
        <f t="shared" si="50"/>
        <v/>
      </c>
    </row>
    <row r="876" spans="2:11" x14ac:dyDescent="0.25">
      <c r="B876">
        <v>8747</v>
      </c>
      <c r="H876">
        <f t="shared" si="48"/>
        <v>0</v>
      </c>
      <c r="I876" s="9" t="str" cm="1">
        <f t="array" ref="I876">_xlfn.LET(_xlpm.total,SUM(D876:G876),_xlpm.maxv,MAX(D876:G876),IF(_xlpm.total=0,"",IF(_xlpm.maxv/_xlpm.total&lt;0.5,"Mixed-Class",_xlfn.IFS(_xlpm.maxv=D876,"Assault",_xlpm.maxv=E876,"Engineer",_xlpm.maxv=F876,"Recon",_xlpm.maxv=G876,"Support"))))</f>
        <v/>
      </c>
      <c r="J876" t="str">
        <f t="shared" si="49"/>
        <v/>
      </c>
      <c r="K876" s="10" t="str">
        <f t="shared" si="50"/>
        <v/>
      </c>
    </row>
    <row r="877" spans="2:11" x14ac:dyDescent="0.25">
      <c r="B877">
        <v>8757</v>
      </c>
      <c r="H877">
        <f t="shared" si="48"/>
        <v>0</v>
      </c>
      <c r="I877" s="9" t="str" cm="1">
        <f t="array" ref="I877">_xlfn.LET(_xlpm.total,SUM(D877:G877),_xlpm.maxv,MAX(D877:G877),IF(_xlpm.total=0,"",IF(_xlpm.maxv/_xlpm.total&lt;0.5,"Mixed-Class",_xlfn.IFS(_xlpm.maxv=D877,"Assault",_xlpm.maxv=E877,"Engineer",_xlpm.maxv=F877,"Recon",_xlpm.maxv=G877,"Support"))))</f>
        <v/>
      </c>
      <c r="J877" t="str">
        <f t="shared" si="49"/>
        <v/>
      </c>
      <c r="K877" s="10" t="str">
        <f t="shared" si="50"/>
        <v/>
      </c>
    </row>
    <row r="878" spans="2:11" x14ac:dyDescent="0.25">
      <c r="B878">
        <v>8767</v>
      </c>
      <c r="H878">
        <f t="shared" si="48"/>
        <v>0</v>
      </c>
      <c r="I878" s="9" t="str" cm="1">
        <f t="array" ref="I878">_xlfn.LET(_xlpm.total,SUM(D878:G878),_xlpm.maxv,MAX(D878:G878),IF(_xlpm.total=0,"",IF(_xlpm.maxv/_xlpm.total&lt;0.5,"Mixed-Class",_xlfn.IFS(_xlpm.maxv=D878,"Assault",_xlpm.maxv=E878,"Engineer",_xlpm.maxv=F878,"Recon",_xlpm.maxv=G878,"Support"))))</f>
        <v/>
      </c>
      <c r="J878" t="str">
        <f t="shared" si="49"/>
        <v/>
      </c>
      <c r="K878" s="10" t="str">
        <f t="shared" si="50"/>
        <v/>
      </c>
    </row>
    <row r="879" spans="2:11" x14ac:dyDescent="0.25">
      <c r="B879">
        <v>8777</v>
      </c>
      <c r="H879">
        <f t="shared" si="48"/>
        <v>0</v>
      </c>
      <c r="I879" s="9" t="str" cm="1">
        <f t="array" ref="I879">_xlfn.LET(_xlpm.total,SUM(D879:G879),_xlpm.maxv,MAX(D879:G879),IF(_xlpm.total=0,"",IF(_xlpm.maxv/_xlpm.total&lt;0.5,"Mixed-Class",_xlfn.IFS(_xlpm.maxv=D879,"Assault",_xlpm.maxv=E879,"Engineer",_xlpm.maxv=F879,"Recon",_xlpm.maxv=G879,"Support"))))</f>
        <v/>
      </c>
      <c r="J879" t="str">
        <f t="shared" si="49"/>
        <v/>
      </c>
      <c r="K879" s="10" t="str">
        <f t="shared" si="50"/>
        <v/>
      </c>
    </row>
    <row r="880" spans="2:11" x14ac:dyDescent="0.25">
      <c r="B880">
        <v>8787</v>
      </c>
      <c r="H880">
        <f t="shared" si="48"/>
        <v>0</v>
      </c>
      <c r="I880" s="9" t="str" cm="1">
        <f t="array" ref="I880">_xlfn.LET(_xlpm.total,SUM(D880:G880),_xlpm.maxv,MAX(D880:G880),IF(_xlpm.total=0,"",IF(_xlpm.maxv/_xlpm.total&lt;0.5,"Mixed-Class",_xlfn.IFS(_xlpm.maxv=D880,"Assault",_xlpm.maxv=E880,"Engineer",_xlpm.maxv=F880,"Recon",_xlpm.maxv=G880,"Support"))))</f>
        <v/>
      </c>
      <c r="J880" t="str">
        <f t="shared" si="49"/>
        <v/>
      </c>
      <c r="K880" s="10" t="str">
        <f t="shared" si="50"/>
        <v/>
      </c>
    </row>
    <row r="881" spans="2:11" x14ac:dyDescent="0.25">
      <c r="B881">
        <v>8797</v>
      </c>
      <c r="H881">
        <f t="shared" si="48"/>
        <v>0</v>
      </c>
      <c r="I881" s="9" t="str" cm="1">
        <f t="array" ref="I881">_xlfn.LET(_xlpm.total,SUM(D881:G881),_xlpm.maxv,MAX(D881:G881),IF(_xlpm.total=0,"",IF(_xlpm.maxv/_xlpm.total&lt;0.5,"Mixed-Class",_xlfn.IFS(_xlpm.maxv=D881,"Assault",_xlpm.maxv=E881,"Engineer",_xlpm.maxv=F881,"Recon",_xlpm.maxv=G881,"Support"))))</f>
        <v/>
      </c>
      <c r="J881" t="str">
        <f t="shared" si="49"/>
        <v/>
      </c>
      <c r="K881" s="10" t="str">
        <f t="shared" si="50"/>
        <v/>
      </c>
    </row>
    <row r="882" spans="2:11" x14ac:dyDescent="0.25">
      <c r="B882">
        <v>8807</v>
      </c>
      <c r="H882">
        <f t="shared" si="48"/>
        <v>0</v>
      </c>
      <c r="I882" s="9" t="str" cm="1">
        <f t="array" ref="I882">_xlfn.LET(_xlpm.total,SUM(D882:G882),_xlpm.maxv,MAX(D882:G882),IF(_xlpm.total=0,"",IF(_xlpm.maxv/_xlpm.total&lt;0.5,"Mixed-Class",_xlfn.IFS(_xlpm.maxv=D882,"Assault",_xlpm.maxv=E882,"Engineer",_xlpm.maxv=F882,"Recon",_xlpm.maxv=G882,"Support"))))</f>
        <v/>
      </c>
      <c r="J882" t="str">
        <f t="shared" si="49"/>
        <v/>
      </c>
      <c r="K882" s="10" t="str">
        <f t="shared" si="50"/>
        <v/>
      </c>
    </row>
    <row r="883" spans="2:11" x14ac:dyDescent="0.25">
      <c r="B883">
        <v>8817</v>
      </c>
      <c r="H883">
        <f t="shared" si="48"/>
        <v>0</v>
      </c>
      <c r="I883" s="9" t="str" cm="1">
        <f t="array" ref="I883">_xlfn.LET(_xlpm.total,SUM(D883:G883),_xlpm.maxv,MAX(D883:G883),IF(_xlpm.total=0,"",IF(_xlpm.maxv/_xlpm.total&lt;0.5,"Mixed-Class",_xlfn.IFS(_xlpm.maxv=D883,"Assault",_xlpm.maxv=E883,"Engineer",_xlpm.maxv=F883,"Recon",_xlpm.maxv=G883,"Support"))))</f>
        <v/>
      </c>
      <c r="J883" t="str">
        <f t="shared" si="49"/>
        <v/>
      </c>
      <c r="K883" s="10" t="str">
        <f t="shared" si="50"/>
        <v/>
      </c>
    </row>
    <row r="884" spans="2:11" x14ac:dyDescent="0.25">
      <c r="B884">
        <v>8827</v>
      </c>
      <c r="H884">
        <f t="shared" si="48"/>
        <v>0</v>
      </c>
      <c r="I884" s="9" t="str" cm="1">
        <f t="array" ref="I884">_xlfn.LET(_xlpm.total,SUM(D884:G884),_xlpm.maxv,MAX(D884:G884),IF(_xlpm.total=0,"",IF(_xlpm.maxv/_xlpm.total&lt;0.5,"Mixed-Class",_xlfn.IFS(_xlpm.maxv=D884,"Assault",_xlpm.maxv=E884,"Engineer",_xlpm.maxv=F884,"Recon",_xlpm.maxv=G884,"Support"))))</f>
        <v/>
      </c>
      <c r="J884" t="str">
        <f t="shared" si="49"/>
        <v/>
      </c>
      <c r="K884" s="10" t="str">
        <f t="shared" si="50"/>
        <v/>
      </c>
    </row>
    <row r="885" spans="2:11" x14ac:dyDescent="0.25">
      <c r="B885">
        <v>8837</v>
      </c>
      <c r="H885">
        <f t="shared" si="48"/>
        <v>0</v>
      </c>
      <c r="I885" s="9" t="str" cm="1">
        <f t="array" ref="I885">_xlfn.LET(_xlpm.total,SUM(D885:G885),_xlpm.maxv,MAX(D885:G885),IF(_xlpm.total=0,"",IF(_xlpm.maxv/_xlpm.total&lt;0.5,"Mixed-Class",_xlfn.IFS(_xlpm.maxv=D885,"Assault",_xlpm.maxv=E885,"Engineer",_xlpm.maxv=F885,"Recon",_xlpm.maxv=G885,"Support"))))</f>
        <v/>
      </c>
      <c r="J885" t="str">
        <f t="shared" si="49"/>
        <v/>
      </c>
      <c r="K885" s="10" t="str">
        <f t="shared" si="50"/>
        <v/>
      </c>
    </row>
    <row r="886" spans="2:11" x14ac:dyDescent="0.25">
      <c r="B886">
        <v>8847</v>
      </c>
      <c r="H886">
        <f t="shared" si="48"/>
        <v>0</v>
      </c>
      <c r="I886" s="9" t="str" cm="1">
        <f t="array" ref="I886">_xlfn.LET(_xlpm.total,SUM(D886:G886),_xlpm.maxv,MAX(D886:G886),IF(_xlpm.total=0,"",IF(_xlpm.maxv/_xlpm.total&lt;0.5,"Mixed-Class",_xlfn.IFS(_xlpm.maxv=D886,"Assault",_xlpm.maxv=E886,"Engineer",_xlpm.maxv=F886,"Recon",_xlpm.maxv=G886,"Support"))))</f>
        <v/>
      </c>
      <c r="J886" t="str">
        <f t="shared" si="49"/>
        <v/>
      </c>
      <c r="K886" s="10" t="str">
        <f t="shared" si="50"/>
        <v/>
      </c>
    </row>
    <row r="887" spans="2:11" x14ac:dyDescent="0.25">
      <c r="B887">
        <v>8857</v>
      </c>
      <c r="H887">
        <f t="shared" si="48"/>
        <v>0</v>
      </c>
      <c r="I887" s="9" t="str" cm="1">
        <f t="array" ref="I887">_xlfn.LET(_xlpm.total,SUM(D887:G887),_xlpm.maxv,MAX(D887:G887),IF(_xlpm.total=0,"",IF(_xlpm.maxv/_xlpm.total&lt;0.5,"Mixed-Class",_xlfn.IFS(_xlpm.maxv=D887,"Assault",_xlpm.maxv=E887,"Engineer",_xlpm.maxv=F887,"Recon",_xlpm.maxv=G887,"Support"))))</f>
        <v/>
      </c>
      <c r="J887" t="str">
        <f t="shared" si="49"/>
        <v/>
      </c>
      <c r="K887" s="10" t="str">
        <f t="shared" si="50"/>
        <v/>
      </c>
    </row>
    <row r="888" spans="2:11" x14ac:dyDescent="0.25">
      <c r="B888">
        <v>8867</v>
      </c>
      <c r="H888">
        <f t="shared" si="48"/>
        <v>0</v>
      </c>
      <c r="I888" s="9" t="str" cm="1">
        <f t="array" ref="I888">_xlfn.LET(_xlpm.total,SUM(D888:G888),_xlpm.maxv,MAX(D888:G888),IF(_xlpm.total=0,"",IF(_xlpm.maxv/_xlpm.total&lt;0.5,"Mixed-Class",_xlfn.IFS(_xlpm.maxv=D888,"Assault",_xlpm.maxv=E888,"Engineer",_xlpm.maxv=F888,"Recon",_xlpm.maxv=G888,"Support"))))</f>
        <v/>
      </c>
      <c r="J888" t="str">
        <f t="shared" si="49"/>
        <v/>
      </c>
      <c r="K888" s="10" t="str">
        <f t="shared" si="50"/>
        <v/>
      </c>
    </row>
    <row r="889" spans="2:11" x14ac:dyDescent="0.25">
      <c r="B889">
        <v>8877</v>
      </c>
      <c r="H889">
        <f t="shared" si="48"/>
        <v>0</v>
      </c>
      <c r="I889" s="9" t="str" cm="1">
        <f t="array" ref="I889">_xlfn.LET(_xlpm.total,SUM(D889:G889),_xlpm.maxv,MAX(D889:G889),IF(_xlpm.total=0,"",IF(_xlpm.maxv/_xlpm.total&lt;0.5,"Mixed-Class",_xlfn.IFS(_xlpm.maxv=D889,"Assault",_xlpm.maxv=E889,"Engineer",_xlpm.maxv=F889,"Recon",_xlpm.maxv=G889,"Support"))))</f>
        <v/>
      </c>
      <c r="J889" t="str">
        <f t="shared" si="49"/>
        <v/>
      </c>
      <c r="K889" s="10" t="str">
        <f t="shared" si="50"/>
        <v/>
      </c>
    </row>
    <row r="890" spans="2:11" x14ac:dyDescent="0.25">
      <c r="B890">
        <v>8887</v>
      </c>
      <c r="H890">
        <f t="shared" si="48"/>
        <v>0</v>
      </c>
      <c r="I890" s="9" t="str" cm="1">
        <f t="array" ref="I890">_xlfn.LET(_xlpm.total,SUM(D890:G890),_xlpm.maxv,MAX(D890:G890),IF(_xlpm.total=0,"",IF(_xlpm.maxv/_xlpm.total&lt;0.5,"Mixed-Class",_xlfn.IFS(_xlpm.maxv=D890,"Assault",_xlpm.maxv=E890,"Engineer",_xlpm.maxv=F890,"Recon",_xlpm.maxv=G890,"Support"))))</f>
        <v/>
      </c>
      <c r="J890" t="str">
        <f t="shared" si="49"/>
        <v/>
      </c>
      <c r="K890" s="10" t="str">
        <f t="shared" si="50"/>
        <v/>
      </c>
    </row>
    <row r="891" spans="2:11" x14ac:dyDescent="0.25">
      <c r="B891">
        <v>8897</v>
      </c>
      <c r="H891">
        <f t="shared" si="48"/>
        <v>0</v>
      </c>
      <c r="I891" s="9" t="str" cm="1">
        <f t="array" ref="I891">_xlfn.LET(_xlpm.total,SUM(D891:G891),_xlpm.maxv,MAX(D891:G891),IF(_xlpm.total=0,"",IF(_xlpm.maxv/_xlpm.total&lt;0.5,"Mixed-Class",_xlfn.IFS(_xlpm.maxv=D891,"Assault",_xlpm.maxv=E891,"Engineer",_xlpm.maxv=F891,"Recon",_xlpm.maxv=G891,"Support"))))</f>
        <v/>
      </c>
      <c r="J891" t="str">
        <f t="shared" si="49"/>
        <v/>
      </c>
      <c r="K891" s="10" t="str">
        <f t="shared" si="50"/>
        <v/>
      </c>
    </row>
    <row r="892" spans="2:11" x14ac:dyDescent="0.25">
      <c r="B892">
        <v>8907</v>
      </c>
      <c r="H892">
        <f t="shared" si="48"/>
        <v>0</v>
      </c>
      <c r="I892" s="9" t="str" cm="1">
        <f t="array" ref="I892">_xlfn.LET(_xlpm.total,SUM(D892:G892),_xlpm.maxv,MAX(D892:G892),IF(_xlpm.total=0,"",IF(_xlpm.maxv/_xlpm.total&lt;0.5,"Mixed-Class",_xlfn.IFS(_xlpm.maxv=D892,"Assault",_xlpm.maxv=E892,"Engineer",_xlpm.maxv=F892,"Recon",_xlpm.maxv=G892,"Support"))))</f>
        <v/>
      </c>
      <c r="J892" t="str">
        <f t="shared" si="49"/>
        <v/>
      </c>
      <c r="K892" s="10" t="str">
        <f t="shared" si="50"/>
        <v/>
      </c>
    </row>
    <row r="893" spans="2:11" x14ac:dyDescent="0.25">
      <c r="B893">
        <v>8917</v>
      </c>
      <c r="H893">
        <f t="shared" si="48"/>
        <v>0</v>
      </c>
      <c r="I893" s="9" t="str" cm="1">
        <f t="array" ref="I893">_xlfn.LET(_xlpm.total,SUM(D893:G893),_xlpm.maxv,MAX(D893:G893),IF(_xlpm.total=0,"",IF(_xlpm.maxv/_xlpm.total&lt;0.5,"Mixed-Class",_xlfn.IFS(_xlpm.maxv=D893,"Assault",_xlpm.maxv=E893,"Engineer",_xlpm.maxv=F893,"Recon",_xlpm.maxv=G893,"Support"))))</f>
        <v/>
      </c>
      <c r="J893" t="str">
        <f t="shared" si="49"/>
        <v/>
      </c>
      <c r="K893" s="10" t="str">
        <f t="shared" si="50"/>
        <v/>
      </c>
    </row>
    <row r="894" spans="2:11" x14ac:dyDescent="0.25">
      <c r="B894">
        <v>8927</v>
      </c>
      <c r="H894">
        <f t="shared" si="48"/>
        <v>0</v>
      </c>
      <c r="I894" s="9" t="str" cm="1">
        <f t="array" ref="I894">_xlfn.LET(_xlpm.total,SUM(D894:G894),_xlpm.maxv,MAX(D894:G894),IF(_xlpm.total=0,"",IF(_xlpm.maxv/_xlpm.total&lt;0.5,"Mixed-Class",_xlfn.IFS(_xlpm.maxv=D894,"Assault",_xlpm.maxv=E894,"Engineer",_xlpm.maxv=F894,"Recon",_xlpm.maxv=G894,"Support"))))</f>
        <v/>
      </c>
      <c r="J894" t="str">
        <f t="shared" si="49"/>
        <v/>
      </c>
      <c r="K894" s="10" t="str">
        <f t="shared" si="50"/>
        <v/>
      </c>
    </row>
    <row r="895" spans="2:11" x14ac:dyDescent="0.25">
      <c r="B895">
        <v>8937</v>
      </c>
      <c r="H895">
        <f t="shared" si="48"/>
        <v>0</v>
      </c>
      <c r="I895" s="9" t="str" cm="1">
        <f t="array" ref="I895">_xlfn.LET(_xlpm.total,SUM(D895:G895),_xlpm.maxv,MAX(D895:G895),IF(_xlpm.total=0,"",IF(_xlpm.maxv/_xlpm.total&lt;0.5,"Mixed-Class",_xlfn.IFS(_xlpm.maxv=D895,"Assault",_xlpm.maxv=E895,"Engineer",_xlpm.maxv=F895,"Recon",_xlpm.maxv=G895,"Support"))))</f>
        <v/>
      </c>
      <c r="J895" t="str">
        <f t="shared" si="49"/>
        <v/>
      </c>
      <c r="K895" s="10" t="str">
        <f t="shared" si="50"/>
        <v/>
      </c>
    </row>
    <row r="896" spans="2:11" x14ac:dyDescent="0.25">
      <c r="B896">
        <v>8947</v>
      </c>
      <c r="H896">
        <f t="shared" si="48"/>
        <v>0</v>
      </c>
      <c r="I896" s="9" t="str" cm="1">
        <f t="array" ref="I896">_xlfn.LET(_xlpm.total,SUM(D896:G896),_xlpm.maxv,MAX(D896:G896),IF(_xlpm.total=0,"",IF(_xlpm.maxv/_xlpm.total&lt;0.5,"Mixed-Class",_xlfn.IFS(_xlpm.maxv=D896,"Assault",_xlpm.maxv=E896,"Engineer",_xlpm.maxv=F896,"Recon",_xlpm.maxv=G896,"Support"))))</f>
        <v/>
      </c>
      <c r="J896" t="str">
        <f t="shared" si="49"/>
        <v/>
      </c>
      <c r="K896" s="10" t="str">
        <f t="shared" si="50"/>
        <v/>
      </c>
    </row>
    <row r="897" spans="2:11" x14ac:dyDescent="0.25">
      <c r="B897">
        <v>8957</v>
      </c>
      <c r="H897">
        <f t="shared" si="48"/>
        <v>0</v>
      </c>
      <c r="I897" s="9" t="str" cm="1">
        <f t="array" ref="I897">_xlfn.LET(_xlpm.total,SUM(D897:G897),_xlpm.maxv,MAX(D897:G897),IF(_xlpm.total=0,"",IF(_xlpm.maxv/_xlpm.total&lt;0.5,"Mixed-Class",_xlfn.IFS(_xlpm.maxv=D897,"Assault",_xlpm.maxv=E897,"Engineer",_xlpm.maxv=F897,"Recon",_xlpm.maxv=G897,"Support"))))</f>
        <v/>
      </c>
      <c r="J897" t="str">
        <f t="shared" si="49"/>
        <v/>
      </c>
      <c r="K897" s="10" t="str">
        <f t="shared" si="50"/>
        <v/>
      </c>
    </row>
    <row r="898" spans="2:11" x14ac:dyDescent="0.25">
      <c r="B898">
        <v>8967</v>
      </c>
      <c r="H898">
        <f t="shared" si="48"/>
        <v>0</v>
      </c>
      <c r="I898" s="9" t="str" cm="1">
        <f t="array" ref="I898">_xlfn.LET(_xlpm.total,SUM(D898:G898),_xlpm.maxv,MAX(D898:G898),IF(_xlpm.total=0,"",IF(_xlpm.maxv/_xlpm.total&lt;0.5,"Mixed-Class",_xlfn.IFS(_xlpm.maxv=D898,"Assault",_xlpm.maxv=E898,"Engineer",_xlpm.maxv=F898,"Recon",_xlpm.maxv=G898,"Support"))))</f>
        <v/>
      </c>
      <c r="J898" t="str">
        <f t="shared" si="49"/>
        <v/>
      </c>
      <c r="K898" s="10" t="str">
        <f t="shared" si="50"/>
        <v/>
      </c>
    </row>
    <row r="899" spans="2:11" x14ac:dyDescent="0.25">
      <c r="B899">
        <v>8977</v>
      </c>
      <c r="H899">
        <f t="shared" ref="H899:H962" si="51">SUM(D899:G899)</f>
        <v>0</v>
      </c>
      <c r="I899" s="9" t="str" cm="1">
        <f t="array" ref="I899">_xlfn.LET(_xlpm.total,SUM(D899:G899),_xlpm.maxv,MAX(D899:G899),IF(_xlpm.total=0,"",IF(_xlpm.maxv/_xlpm.total&lt;0.5,"Mixed-Class",_xlfn.IFS(_xlpm.maxv=D899,"Assault",_xlpm.maxv=E899,"Engineer",_xlpm.maxv=F899,"Recon",_xlpm.maxv=G899,"Support"))))</f>
        <v/>
      </c>
      <c r="J899" t="str">
        <f t="shared" ref="J899:J962" si="52">_xlfn.LET(_xlpm.total,SUM(D899:G899),IF(_xlpm.total=0,"",MAX(D899:G899)/_xlpm.total&gt;=0.5))</f>
        <v/>
      </c>
      <c r="K899" s="10" t="str">
        <f t="shared" ref="K899:K962" si="53">_xlfn.LET(_xlpm.total,SUM(D899:G899),IF(_xlpm.total=0,"",MAX(D899:G899)/_xlpm.total))</f>
        <v/>
      </c>
    </row>
    <row r="900" spans="2:11" x14ac:dyDescent="0.25">
      <c r="B900">
        <v>8987</v>
      </c>
      <c r="H900">
        <f t="shared" si="51"/>
        <v>0</v>
      </c>
      <c r="I900" s="9" t="str" cm="1">
        <f t="array" ref="I900">_xlfn.LET(_xlpm.total,SUM(D900:G900),_xlpm.maxv,MAX(D900:G900),IF(_xlpm.total=0,"",IF(_xlpm.maxv/_xlpm.total&lt;0.5,"Mixed-Class",_xlfn.IFS(_xlpm.maxv=D900,"Assault",_xlpm.maxv=E900,"Engineer",_xlpm.maxv=F900,"Recon",_xlpm.maxv=G900,"Support"))))</f>
        <v/>
      </c>
      <c r="J900" t="str">
        <f t="shared" si="52"/>
        <v/>
      </c>
      <c r="K900" s="10" t="str">
        <f t="shared" si="53"/>
        <v/>
      </c>
    </row>
    <row r="901" spans="2:11" x14ac:dyDescent="0.25">
      <c r="B901">
        <v>8997</v>
      </c>
      <c r="H901">
        <f t="shared" si="51"/>
        <v>0</v>
      </c>
      <c r="I901" s="9" t="str" cm="1">
        <f t="array" ref="I901">_xlfn.LET(_xlpm.total,SUM(D901:G901),_xlpm.maxv,MAX(D901:G901),IF(_xlpm.total=0,"",IF(_xlpm.maxv/_xlpm.total&lt;0.5,"Mixed-Class",_xlfn.IFS(_xlpm.maxv=D901,"Assault",_xlpm.maxv=E901,"Engineer",_xlpm.maxv=F901,"Recon",_xlpm.maxv=G901,"Support"))))</f>
        <v/>
      </c>
      <c r="J901" t="str">
        <f t="shared" si="52"/>
        <v/>
      </c>
      <c r="K901" s="10" t="str">
        <f t="shared" si="53"/>
        <v/>
      </c>
    </row>
    <row r="902" spans="2:11" x14ac:dyDescent="0.25">
      <c r="B902">
        <v>9007</v>
      </c>
      <c r="H902">
        <f t="shared" si="51"/>
        <v>0</v>
      </c>
      <c r="I902" s="9" t="str" cm="1">
        <f t="array" ref="I902">_xlfn.LET(_xlpm.total,SUM(D902:G902),_xlpm.maxv,MAX(D902:G902),IF(_xlpm.total=0,"",IF(_xlpm.maxv/_xlpm.total&lt;0.5,"Mixed-Class",_xlfn.IFS(_xlpm.maxv=D902,"Assault",_xlpm.maxv=E902,"Engineer",_xlpm.maxv=F902,"Recon",_xlpm.maxv=G902,"Support"))))</f>
        <v/>
      </c>
      <c r="J902" t="str">
        <f t="shared" si="52"/>
        <v/>
      </c>
      <c r="K902" s="10" t="str">
        <f t="shared" si="53"/>
        <v/>
      </c>
    </row>
    <row r="903" spans="2:11" x14ac:dyDescent="0.25">
      <c r="B903">
        <v>9017</v>
      </c>
      <c r="H903">
        <f t="shared" si="51"/>
        <v>0</v>
      </c>
      <c r="I903" s="9" t="str" cm="1">
        <f t="array" ref="I903">_xlfn.LET(_xlpm.total,SUM(D903:G903),_xlpm.maxv,MAX(D903:G903),IF(_xlpm.total=0,"",IF(_xlpm.maxv/_xlpm.total&lt;0.5,"Mixed-Class",_xlfn.IFS(_xlpm.maxv=D903,"Assault",_xlpm.maxv=E903,"Engineer",_xlpm.maxv=F903,"Recon",_xlpm.maxv=G903,"Support"))))</f>
        <v/>
      </c>
      <c r="J903" t="str">
        <f t="shared" si="52"/>
        <v/>
      </c>
      <c r="K903" s="10" t="str">
        <f t="shared" si="53"/>
        <v/>
      </c>
    </row>
    <row r="904" spans="2:11" x14ac:dyDescent="0.25">
      <c r="B904">
        <v>9027</v>
      </c>
      <c r="H904">
        <f t="shared" si="51"/>
        <v>0</v>
      </c>
      <c r="I904" s="9" t="str" cm="1">
        <f t="array" ref="I904">_xlfn.LET(_xlpm.total,SUM(D904:G904),_xlpm.maxv,MAX(D904:G904),IF(_xlpm.total=0,"",IF(_xlpm.maxv/_xlpm.total&lt;0.5,"Mixed-Class",_xlfn.IFS(_xlpm.maxv=D904,"Assault",_xlpm.maxv=E904,"Engineer",_xlpm.maxv=F904,"Recon",_xlpm.maxv=G904,"Support"))))</f>
        <v/>
      </c>
      <c r="J904" t="str">
        <f t="shared" si="52"/>
        <v/>
      </c>
      <c r="K904" s="10" t="str">
        <f t="shared" si="53"/>
        <v/>
      </c>
    </row>
    <row r="905" spans="2:11" x14ac:dyDescent="0.25">
      <c r="B905">
        <v>9037</v>
      </c>
      <c r="H905">
        <f t="shared" si="51"/>
        <v>0</v>
      </c>
      <c r="I905" s="9" t="str" cm="1">
        <f t="array" ref="I905">_xlfn.LET(_xlpm.total,SUM(D905:G905),_xlpm.maxv,MAX(D905:G905),IF(_xlpm.total=0,"",IF(_xlpm.maxv/_xlpm.total&lt;0.5,"Mixed-Class",_xlfn.IFS(_xlpm.maxv=D905,"Assault",_xlpm.maxv=E905,"Engineer",_xlpm.maxv=F905,"Recon",_xlpm.maxv=G905,"Support"))))</f>
        <v/>
      </c>
      <c r="J905" t="str">
        <f t="shared" si="52"/>
        <v/>
      </c>
      <c r="K905" s="10" t="str">
        <f t="shared" si="53"/>
        <v/>
      </c>
    </row>
    <row r="906" spans="2:11" x14ac:dyDescent="0.25">
      <c r="B906">
        <v>9047</v>
      </c>
      <c r="H906">
        <f t="shared" si="51"/>
        <v>0</v>
      </c>
      <c r="I906" s="9" t="str" cm="1">
        <f t="array" ref="I906">_xlfn.LET(_xlpm.total,SUM(D906:G906),_xlpm.maxv,MAX(D906:G906),IF(_xlpm.total=0,"",IF(_xlpm.maxv/_xlpm.total&lt;0.5,"Mixed-Class",_xlfn.IFS(_xlpm.maxv=D906,"Assault",_xlpm.maxv=E906,"Engineer",_xlpm.maxv=F906,"Recon",_xlpm.maxv=G906,"Support"))))</f>
        <v/>
      </c>
      <c r="J906" t="str">
        <f t="shared" si="52"/>
        <v/>
      </c>
      <c r="K906" s="10" t="str">
        <f t="shared" si="53"/>
        <v/>
      </c>
    </row>
    <row r="907" spans="2:11" x14ac:dyDescent="0.25">
      <c r="B907">
        <v>9057</v>
      </c>
      <c r="H907">
        <f t="shared" si="51"/>
        <v>0</v>
      </c>
      <c r="I907" s="9" t="str" cm="1">
        <f t="array" ref="I907">_xlfn.LET(_xlpm.total,SUM(D907:G907),_xlpm.maxv,MAX(D907:G907),IF(_xlpm.total=0,"",IF(_xlpm.maxv/_xlpm.total&lt;0.5,"Mixed-Class",_xlfn.IFS(_xlpm.maxv=D907,"Assault",_xlpm.maxv=E907,"Engineer",_xlpm.maxv=F907,"Recon",_xlpm.maxv=G907,"Support"))))</f>
        <v/>
      </c>
      <c r="J907" t="str">
        <f t="shared" si="52"/>
        <v/>
      </c>
      <c r="K907" s="10" t="str">
        <f t="shared" si="53"/>
        <v/>
      </c>
    </row>
    <row r="908" spans="2:11" x14ac:dyDescent="0.25">
      <c r="B908">
        <v>9067</v>
      </c>
      <c r="H908">
        <f t="shared" si="51"/>
        <v>0</v>
      </c>
      <c r="I908" s="9" t="str" cm="1">
        <f t="array" ref="I908">_xlfn.LET(_xlpm.total,SUM(D908:G908),_xlpm.maxv,MAX(D908:G908),IF(_xlpm.total=0,"",IF(_xlpm.maxv/_xlpm.total&lt;0.5,"Mixed-Class",_xlfn.IFS(_xlpm.maxv=D908,"Assault",_xlpm.maxv=E908,"Engineer",_xlpm.maxv=F908,"Recon",_xlpm.maxv=G908,"Support"))))</f>
        <v/>
      </c>
      <c r="J908" t="str">
        <f t="shared" si="52"/>
        <v/>
      </c>
      <c r="K908" s="10" t="str">
        <f t="shared" si="53"/>
        <v/>
      </c>
    </row>
    <row r="909" spans="2:11" x14ac:dyDescent="0.25">
      <c r="B909">
        <v>9077</v>
      </c>
      <c r="H909">
        <f t="shared" si="51"/>
        <v>0</v>
      </c>
      <c r="I909" s="9" t="str" cm="1">
        <f t="array" ref="I909">_xlfn.LET(_xlpm.total,SUM(D909:G909),_xlpm.maxv,MAX(D909:G909),IF(_xlpm.total=0,"",IF(_xlpm.maxv/_xlpm.total&lt;0.5,"Mixed-Class",_xlfn.IFS(_xlpm.maxv=D909,"Assault",_xlpm.maxv=E909,"Engineer",_xlpm.maxv=F909,"Recon",_xlpm.maxv=G909,"Support"))))</f>
        <v/>
      </c>
      <c r="J909" t="str">
        <f t="shared" si="52"/>
        <v/>
      </c>
      <c r="K909" s="10" t="str">
        <f t="shared" si="53"/>
        <v/>
      </c>
    </row>
    <row r="910" spans="2:11" x14ac:dyDescent="0.25">
      <c r="B910">
        <v>9087</v>
      </c>
      <c r="H910">
        <f t="shared" si="51"/>
        <v>0</v>
      </c>
      <c r="I910" s="9" t="str" cm="1">
        <f t="array" ref="I910">_xlfn.LET(_xlpm.total,SUM(D910:G910),_xlpm.maxv,MAX(D910:G910),IF(_xlpm.total=0,"",IF(_xlpm.maxv/_xlpm.total&lt;0.5,"Mixed-Class",_xlfn.IFS(_xlpm.maxv=D910,"Assault",_xlpm.maxv=E910,"Engineer",_xlpm.maxv=F910,"Recon",_xlpm.maxv=G910,"Support"))))</f>
        <v/>
      </c>
      <c r="J910" t="str">
        <f t="shared" si="52"/>
        <v/>
      </c>
      <c r="K910" s="10" t="str">
        <f t="shared" si="53"/>
        <v/>
      </c>
    </row>
    <row r="911" spans="2:11" x14ac:dyDescent="0.25">
      <c r="B911">
        <v>9097</v>
      </c>
      <c r="H911">
        <f t="shared" si="51"/>
        <v>0</v>
      </c>
      <c r="I911" s="9" t="str" cm="1">
        <f t="array" ref="I911">_xlfn.LET(_xlpm.total,SUM(D911:G911),_xlpm.maxv,MAX(D911:G911),IF(_xlpm.total=0,"",IF(_xlpm.maxv/_xlpm.total&lt;0.5,"Mixed-Class",_xlfn.IFS(_xlpm.maxv=D911,"Assault",_xlpm.maxv=E911,"Engineer",_xlpm.maxv=F911,"Recon",_xlpm.maxv=G911,"Support"))))</f>
        <v/>
      </c>
      <c r="J911" t="str">
        <f t="shared" si="52"/>
        <v/>
      </c>
      <c r="K911" s="10" t="str">
        <f t="shared" si="53"/>
        <v/>
      </c>
    </row>
    <row r="912" spans="2:11" x14ac:dyDescent="0.25">
      <c r="B912">
        <v>9107</v>
      </c>
      <c r="H912">
        <f t="shared" si="51"/>
        <v>0</v>
      </c>
      <c r="I912" s="9" t="str" cm="1">
        <f t="array" ref="I912">_xlfn.LET(_xlpm.total,SUM(D912:G912),_xlpm.maxv,MAX(D912:G912),IF(_xlpm.total=0,"",IF(_xlpm.maxv/_xlpm.total&lt;0.5,"Mixed-Class",_xlfn.IFS(_xlpm.maxv=D912,"Assault",_xlpm.maxv=E912,"Engineer",_xlpm.maxv=F912,"Recon",_xlpm.maxv=G912,"Support"))))</f>
        <v/>
      </c>
      <c r="J912" t="str">
        <f t="shared" si="52"/>
        <v/>
      </c>
      <c r="K912" s="10" t="str">
        <f t="shared" si="53"/>
        <v/>
      </c>
    </row>
    <row r="913" spans="2:11" x14ac:dyDescent="0.25">
      <c r="B913">
        <v>9117</v>
      </c>
      <c r="H913">
        <f t="shared" si="51"/>
        <v>0</v>
      </c>
      <c r="I913" s="9" t="str" cm="1">
        <f t="array" ref="I913">_xlfn.LET(_xlpm.total,SUM(D913:G913),_xlpm.maxv,MAX(D913:G913),IF(_xlpm.total=0,"",IF(_xlpm.maxv/_xlpm.total&lt;0.5,"Mixed-Class",_xlfn.IFS(_xlpm.maxv=D913,"Assault",_xlpm.maxv=E913,"Engineer",_xlpm.maxv=F913,"Recon",_xlpm.maxv=G913,"Support"))))</f>
        <v/>
      </c>
      <c r="J913" t="str">
        <f t="shared" si="52"/>
        <v/>
      </c>
      <c r="K913" s="10" t="str">
        <f t="shared" si="53"/>
        <v/>
      </c>
    </row>
    <row r="914" spans="2:11" x14ac:dyDescent="0.25">
      <c r="B914">
        <v>9127</v>
      </c>
      <c r="H914">
        <f t="shared" si="51"/>
        <v>0</v>
      </c>
      <c r="I914" s="9" t="str" cm="1">
        <f t="array" ref="I914">_xlfn.LET(_xlpm.total,SUM(D914:G914),_xlpm.maxv,MAX(D914:G914),IF(_xlpm.total=0,"",IF(_xlpm.maxv/_xlpm.total&lt;0.5,"Mixed-Class",_xlfn.IFS(_xlpm.maxv=D914,"Assault",_xlpm.maxv=E914,"Engineer",_xlpm.maxv=F914,"Recon",_xlpm.maxv=G914,"Support"))))</f>
        <v/>
      </c>
      <c r="J914" t="str">
        <f t="shared" si="52"/>
        <v/>
      </c>
      <c r="K914" s="10" t="str">
        <f t="shared" si="53"/>
        <v/>
      </c>
    </row>
    <row r="915" spans="2:11" x14ac:dyDescent="0.25">
      <c r="B915">
        <v>9137</v>
      </c>
      <c r="H915">
        <f t="shared" si="51"/>
        <v>0</v>
      </c>
      <c r="I915" s="9" t="str" cm="1">
        <f t="array" ref="I915">_xlfn.LET(_xlpm.total,SUM(D915:G915),_xlpm.maxv,MAX(D915:G915),IF(_xlpm.total=0,"",IF(_xlpm.maxv/_xlpm.total&lt;0.5,"Mixed-Class",_xlfn.IFS(_xlpm.maxv=D915,"Assault",_xlpm.maxv=E915,"Engineer",_xlpm.maxv=F915,"Recon",_xlpm.maxv=G915,"Support"))))</f>
        <v/>
      </c>
      <c r="J915" t="str">
        <f t="shared" si="52"/>
        <v/>
      </c>
      <c r="K915" s="10" t="str">
        <f t="shared" si="53"/>
        <v/>
      </c>
    </row>
    <row r="916" spans="2:11" x14ac:dyDescent="0.25">
      <c r="B916">
        <v>9147</v>
      </c>
      <c r="H916">
        <f t="shared" si="51"/>
        <v>0</v>
      </c>
      <c r="I916" s="9" t="str" cm="1">
        <f t="array" ref="I916">_xlfn.LET(_xlpm.total,SUM(D916:G916),_xlpm.maxv,MAX(D916:G916),IF(_xlpm.total=0,"",IF(_xlpm.maxv/_xlpm.total&lt;0.5,"Mixed-Class",_xlfn.IFS(_xlpm.maxv=D916,"Assault",_xlpm.maxv=E916,"Engineer",_xlpm.maxv=F916,"Recon",_xlpm.maxv=G916,"Support"))))</f>
        <v/>
      </c>
      <c r="J916" t="str">
        <f t="shared" si="52"/>
        <v/>
      </c>
      <c r="K916" s="10" t="str">
        <f t="shared" si="53"/>
        <v/>
      </c>
    </row>
    <row r="917" spans="2:11" x14ac:dyDescent="0.25">
      <c r="B917">
        <v>9157</v>
      </c>
      <c r="H917">
        <f t="shared" si="51"/>
        <v>0</v>
      </c>
      <c r="I917" s="9" t="str" cm="1">
        <f t="array" ref="I917">_xlfn.LET(_xlpm.total,SUM(D917:G917),_xlpm.maxv,MAX(D917:G917),IF(_xlpm.total=0,"",IF(_xlpm.maxv/_xlpm.total&lt;0.5,"Mixed-Class",_xlfn.IFS(_xlpm.maxv=D917,"Assault",_xlpm.maxv=E917,"Engineer",_xlpm.maxv=F917,"Recon",_xlpm.maxv=G917,"Support"))))</f>
        <v/>
      </c>
      <c r="J917" t="str">
        <f t="shared" si="52"/>
        <v/>
      </c>
      <c r="K917" s="10" t="str">
        <f t="shared" si="53"/>
        <v/>
      </c>
    </row>
    <row r="918" spans="2:11" x14ac:dyDescent="0.25">
      <c r="B918">
        <v>9167</v>
      </c>
      <c r="H918">
        <f t="shared" si="51"/>
        <v>0</v>
      </c>
      <c r="I918" s="9" t="str" cm="1">
        <f t="array" ref="I918">_xlfn.LET(_xlpm.total,SUM(D918:G918),_xlpm.maxv,MAX(D918:G918),IF(_xlpm.total=0,"",IF(_xlpm.maxv/_xlpm.total&lt;0.5,"Mixed-Class",_xlfn.IFS(_xlpm.maxv=D918,"Assault",_xlpm.maxv=E918,"Engineer",_xlpm.maxv=F918,"Recon",_xlpm.maxv=G918,"Support"))))</f>
        <v/>
      </c>
      <c r="J918" t="str">
        <f t="shared" si="52"/>
        <v/>
      </c>
      <c r="K918" s="10" t="str">
        <f t="shared" si="53"/>
        <v/>
      </c>
    </row>
    <row r="919" spans="2:11" x14ac:dyDescent="0.25">
      <c r="B919">
        <v>9177</v>
      </c>
      <c r="H919">
        <f t="shared" si="51"/>
        <v>0</v>
      </c>
      <c r="I919" s="9" t="str" cm="1">
        <f t="array" ref="I919">_xlfn.LET(_xlpm.total,SUM(D919:G919),_xlpm.maxv,MAX(D919:G919),IF(_xlpm.total=0,"",IF(_xlpm.maxv/_xlpm.total&lt;0.5,"Mixed-Class",_xlfn.IFS(_xlpm.maxv=D919,"Assault",_xlpm.maxv=E919,"Engineer",_xlpm.maxv=F919,"Recon",_xlpm.maxv=G919,"Support"))))</f>
        <v/>
      </c>
      <c r="J919" t="str">
        <f t="shared" si="52"/>
        <v/>
      </c>
      <c r="K919" s="10" t="str">
        <f t="shared" si="53"/>
        <v/>
      </c>
    </row>
    <row r="920" spans="2:11" x14ac:dyDescent="0.25">
      <c r="B920">
        <v>9187</v>
      </c>
      <c r="H920">
        <f t="shared" si="51"/>
        <v>0</v>
      </c>
      <c r="I920" s="9" t="str" cm="1">
        <f t="array" ref="I920">_xlfn.LET(_xlpm.total,SUM(D920:G920),_xlpm.maxv,MAX(D920:G920),IF(_xlpm.total=0,"",IF(_xlpm.maxv/_xlpm.total&lt;0.5,"Mixed-Class",_xlfn.IFS(_xlpm.maxv=D920,"Assault",_xlpm.maxv=E920,"Engineer",_xlpm.maxv=F920,"Recon",_xlpm.maxv=G920,"Support"))))</f>
        <v/>
      </c>
      <c r="J920" t="str">
        <f t="shared" si="52"/>
        <v/>
      </c>
      <c r="K920" s="10" t="str">
        <f t="shared" si="53"/>
        <v/>
      </c>
    </row>
    <row r="921" spans="2:11" x14ac:dyDescent="0.25">
      <c r="B921">
        <v>9197</v>
      </c>
      <c r="H921">
        <f t="shared" si="51"/>
        <v>0</v>
      </c>
      <c r="I921" s="9" t="str" cm="1">
        <f t="array" ref="I921">_xlfn.LET(_xlpm.total,SUM(D921:G921),_xlpm.maxv,MAX(D921:G921),IF(_xlpm.total=0,"",IF(_xlpm.maxv/_xlpm.total&lt;0.5,"Mixed-Class",_xlfn.IFS(_xlpm.maxv=D921,"Assault",_xlpm.maxv=E921,"Engineer",_xlpm.maxv=F921,"Recon",_xlpm.maxv=G921,"Support"))))</f>
        <v/>
      </c>
      <c r="J921" t="str">
        <f t="shared" si="52"/>
        <v/>
      </c>
      <c r="K921" s="10" t="str">
        <f t="shared" si="53"/>
        <v/>
      </c>
    </row>
    <row r="922" spans="2:11" x14ac:dyDescent="0.25">
      <c r="B922">
        <v>9207</v>
      </c>
      <c r="H922">
        <f t="shared" si="51"/>
        <v>0</v>
      </c>
      <c r="I922" s="9" t="str" cm="1">
        <f t="array" ref="I922">_xlfn.LET(_xlpm.total,SUM(D922:G922),_xlpm.maxv,MAX(D922:G922),IF(_xlpm.total=0,"",IF(_xlpm.maxv/_xlpm.total&lt;0.5,"Mixed-Class",_xlfn.IFS(_xlpm.maxv=D922,"Assault",_xlpm.maxv=E922,"Engineer",_xlpm.maxv=F922,"Recon",_xlpm.maxv=G922,"Support"))))</f>
        <v/>
      </c>
      <c r="J922" t="str">
        <f t="shared" si="52"/>
        <v/>
      </c>
      <c r="K922" s="10" t="str">
        <f t="shared" si="53"/>
        <v/>
      </c>
    </row>
    <row r="923" spans="2:11" x14ac:dyDescent="0.25">
      <c r="B923">
        <v>9217</v>
      </c>
      <c r="H923">
        <f t="shared" si="51"/>
        <v>0</v>
      </c>
      <c r="I923" s="9" t="str" cm="1">
        <f t="array" ref="I923">_xlfn.LET(_xlpm.total,SUM(D923:G923),_xlpm.maxv,MAX(D923:G923),IF(_xlpm.total=0,"",IF(_xlpm.maxv/_xlpm.total&lt;0.5,"Mixed-Class",_xlfn.IFS(_xlpm.maxv=D923,"Assault",_xlpm.maxv=E923,"Engineer",_xlpm.maxv=F923,"Recon",_xlpm.maxv=G923,"Support"))))</f>
        <v/>
      </c>
      <c r="J923" t="str">
        <f t="shared" si="52"/>
        <v/>
      </c>
      <c r="K923" s="10" t="str">
        <f t="shared" si="53"/>
        <v/>
      </c>
    </row>
    <row r="924" spans="2:11" x14ac:dyDescent="0.25">
      <c r="B924">
        <v>9227</v>
      </c>
      <c r="H924">
        <f t="shared" si="51"/>
        <v>0</v>
      </c>
      <c r="I924" s="9" t="str" cm="1">
        <f t="array" ref="I924">_xlfn.LET(_xlpm.total,SUM(D924:G924),_xlpm.maxv,MAX(D924:G924),IF(_xlpm.total=0,"",IF(_xlpm.maxv/_xlpm.total&lt;0.5,"Mixed-Class",_xlfn.IFS(_xlpm.maxv=D924,"Assault",_xlpm.maxv=E924,"Engineer",_xlpm.maxv=F924,"Recon",_xlpm.maxv=G924,"Support"))))</f>
        <v/>
      </c>
      <c r="J924" t="str">
        <f t="shared" si="52"/>
        <v/>
      </c>
      <c r="K924" s="10" t="str">
        <f t="shared" si="53"/>
        <v/>
      </c>
    </row>
    <row r="925" spans="2:11" x14ac:dyDescent="0.25">
      <c r="B925">
        <v>9237</v>
      </c>
      <c r="H925">
        <f t="shared" si="51"/>
        <v>0</v>
      </c>
      <c r="I925" s="9" t="str" cm="1">
        <f t="array" ref="I925">_xlfn.LET(_xlpm.total,SUM(D925:G925),_xlpm.maxv,MAX(D925:G925),IF(_xlpm.total=0,"",IF(_xlpm.maxv/_xlpm.total&lt;0.5,"Mixed-Class",_xlfn.IFS(_xlpm.maxv=D925,"Assault",_xlpm.maxv=E925,"Engineer",_xlpm.maxv=F925,"Recon",_xlpm.maxv=G925,"Support"))))</f>
        <v/>
      </c>
      <c r="J925" t="str">
        <f t="shared" si="52"/>
        <v/>
      </c>
      <c r="K925" s="10" t="str">
        <f t="shared" si="53"/>
        <v/>
      </c>
    </row>
    <row r="926" spans="2:11" x14ac:dyDescent="0.25">
      <c r="B926">
        <v>9247</v>
      </c>
      <c r="H926">
        <f t="shared" si="51"/>
        <v>0</v>
      </c>
      <c r="I926" s="9" t="str" cm="1">
        <f t="array" ref="I926">_xlfn.LET(_xlpm.total,SUM(D926:G926),_xlpm.maxv,MAX(D926:G926),IF(_xlpm.total=0,"",IF(_xlpm.maxv/_xlpm.total&lt;0.5,"Mixed-Class",_xlfn.IFS(_xlpm.maxv=D926,"Assault",_xlpm.maxv=E926,"Engineer",_xlpm.maxv=F926,"Recon",_xlpm.maxv=G926,"Support"))))</f>
        <v/>
      </c>
      <c r="J926" t="str">
        <f t="shared" si="52"/>
        <v/>
      </c>
      <c r="K926" s="10" t="str">
        <f t="shared" si="53"/>
        <v/>
      </c>
    </row>
    <row r="927" spans="2:11" x14ac:dyDescent="0.25">
      <c r="B927">
        <v>9257</v>
      </c>
      <c r="H927">
        <f t="shared" si="51"/>
        <v>0</v>
      </c>
      <c r="I927" s="9" t="str" cm="1">
        <f t="array" ref="I927">_xlfn.LET(_xlpm.total,SUM(D927:G927),_xlpm.maxv,MAX(D927:G927),IF(_xlpm.total=0,"",IF(_xlpm.maxv/_xlpm.total&lt;0.5,"Mixed-Class",_xlfn.IFS(_xlpm.maxv=D927,"Assault",_xlpm.maxv=E927,"Engineer",_xlpm.maxv=F927,"Recon",_xlpm.maxv=G927,"Support"))))</f>
        <v/>
      </c>
      <c r="J927" t="str">
        <f t="shared" si="52"/>
        <v/>
      </c>
      <c r="K927" s="10" t="str">
        <f t="shared" si="53"/>
        <v/>
      </c>
    </row>
    <row r="928" spans="2:11" x14ac:dyDescent="0.25">
      <c r="B928">
        <v>9267</v>
      </c>
      <c r="H928">
        <f t="shared" si="51"/>
        <v>0</v>
      </c>
      <c r="I928" s="9" t="str" cm="1">
        <f t="array" ref="I928">_xlfn.LET(_xlpm.total,SUM(D928:G928),_xlpm.maxv,MAX(D928:G928),IF(_xlpm.total=0,"",IF(_xlpm.maxv/_xlpm.total&lt;0.5,"Mixed-Class",_xlfn.IFS(_xlpm.maxv=D928,"Assault",_xlpm.maxv=E928,"Engineer",_xlpm.maxv=F928,"Recon",_xlpm.maxv=G928,"Support"))))</f>
        <v/>
      </c>
      <c r="J928" t="str">
        <f t="shared" si="52"/>
        <v/>
      </c>
      <c r="K928" s="10" t="str">
        <f t="shared" si="53"/>
        <v/>
      </c>
    </row>
    <row r="929" spans="2:11" x14ac:dyDescent="0.25">
      <c r="B929">
        <v>9277</v>
      </c>
      <c r="H929">
        <f t="shared" si="51"/>
        <v>0</v>
      </c>
      <c r="I929" s="9" t="str" cm="1">
        <f t="array" ref="I929">_xlfn.LET(_xlpm.total,SUM(D929:G929),_xlpm.maxv,MAX(D929:G929),IF(_xlpm.total=0,"",IF(_xlpm.maxv/_xlpm.total&lt;0.5,"Mixed-Class",_xlfn.IFS(_xlpm.maxv=D929,"Assault",_xlpm.maxv=E929,"Engineer",_xlpm.maxv=F929,"Recon",_xlpm.maxv=G929,"Support"))))</f>
        <v/>
      </c>
      <c r="J929" t="str">
        <f t="shared" si="52"/>
        <v/>
      </c>
      <c r="K929" s="10" t="str">
        <f t="shared" si="53"/>
        <v/>
      </c>
    </row>
    <row r="930" spans="2:11" x14ac:dyDescent="0.25">
      <c r="B930">
        <v>9287</v>
      </c>
      <c r="H930">
        <f t="shared" si="51"/>
        <v>0</v>
      </c>
      <c r="I930" s="9" t="str" cm="1">
        <f t="array" ref="I930">_xlfn.LET(_xlpm.total,SUM(D930:G930),_xlpm.maxv,MAX(D930:G930),IF(_xlpm.total=0,"",IF(_xlpm.maxv/_xlpm.total&lt;0.5,"Mixed-Class",_xlfn.IFS(_xlpm.maxv=D930,"Assault",_xlpm.maxv=E930,"Engineer",_xlpm.maxv=F930,"Recon",_xlpm.maxv=G930,"Support"))))</f>
        <v/>
      </c>
      <c r="J930" t="str">
        <f t="shared" si="52"/>
        <v/>
      </c>
      <c r="K930" s="10" t="str">
        <f t="shared" si="53"/>
        <v/>
      </c>
    </row>
    <row r="931" spans="2:11" x14ac:dyDescent="0.25">
      <c r="B931">
        <v>9297</v>
      </c>
      <c r="H931">
        <f t="shared" si="51"/>
        <v>0</v>
      </c>
      <c r="I931" s="9" t="str" cm="1">
        <f t="array" ref="I931">_xlfn.LET(_xlpm.total,SUM(D931:G931),_xlpm.maxv,MAX(D931:G931),IF(_xlpm.total=0,"",IF(_xlpm.maxv/_xlpm.total&lt;0.5,"Mixed-Class",_xlfn.IFS(_xlpm.maxv=D931,"Assault",_xlpm.maxv=E931,"Engineer",_xlpm.maxv=F931,"Recon",_xlpm.maxv=G931,"Support"))))</f>
        <v/>
      </c>
      <c r="J931" t="str">
        <f t="shared" si="52"/>
        <v/>
      </c>
      <c r="K931" s="10" t="str">
        <f t="shared" si="53"/>
        <v/>
      </c>
    </row>
    <row r="932" spans="2:11" x14ac:dyDescent="0.25">
      <c r="B932">
        <v>9307</v>
      </c>
      <c r="H932">
        <f t="shared" si="51"/>
        <v>0</v>
      </c>
      <c r="I932" s="9" t="str" cm="1">
        <f t="array" ref="I932">_xlfn.LET(_xlpm.total,SUM(D932:G932),_xlpm.maxv,MAX(D932:G932),IF(_xlpm.total=0,"",IF(_xlpm.maxv/_xlpm.total&lt;0.5,"Mixed-Class",_xlfn.IFS(_xlpm.maxv=D932,"Assault",_xlpm.maxv=E932,"Engineer",_xlpm.maxv=F932,"Recon",_xlpm.maxv=G932,"Support"))))</f>
        <v/>
      </c>
      <c r="J932" t="str">
        <f t="shared" si="52"/>
        <v/>
      </c>
      <c r="K932" s="10" t="str">
        <f t="shared" si="53"/>
        <v/>
      </c>
    </row>
    <row r="933" spans="2:11" x14ac:dyDescent="0.25">
      <c r="B933">
        <v>9317</v>
      </c>
      <c r="H933">
        <f t="shared" si="51"/>
        <v>0</v>
      </c>
      <c r="I933" s="9" t="str" cm="1">
        <f t="array" ref="I933">_xlfn.LET(_xlpm.total,SUM(D933:G933),_xlpm.maxv,MAX(D933:G933),IF(_xlpm.total=0,"",IF(_xlpm.maxv/_xlpm.total&lt;0.5,"Mixed-Class",_xlfn.IFS(_xlpm.maxv=D933,"Assault",_xlpm.maxv=E933,"Engineer",_xlpm.maxv=F933,"Recon",_xlpm.maxv=G933,"Support"))))</f>
        <v/>
      </c>
      <c r="J933" t="str">
        <f t="shared" si="52"/>
        <v/>
      </c>
      <c r="K933" s="10" t="str">
        <f t="shared" si="53"/>
        <v/>
      </c>
    </row>
    <row r="934" spans="2:11" x14ac:dyDescent="0.25">
      <c r="B934">
        <v>9327</v>
      </c>
      <c r="H934">
        <f t="shared" si="51"/>
        <v>0</v>
      </c>
      <c r="I934" s="9" t="str" cm="1">
        <f t="array" ref="I934">_xlfn.LET(_xlpm.total,SUM(D934:G934),_xlpm.maxv,MAX(D934:G934),IF(_xlpm.total=0,"",IF(_xlpm.maxv/_xlpm.total&lt;0.5,"Mixed-Class",_xlfn.IFS(_xlpm.maxv=D934,"Assault",_xlpm.maxv=E934,"Engineer",_xlpm.maxv=F934,"Recon",_xlpm.maxv=G934,"Support"))))</f>
        <v/>
      </c>
      <c r="J934" t="str">
        <f t="shared" si="52"/>
        <v/>
      </c>
      <c r="K934" s="10" t="str">
        <f t="shared" si="53"/>
        <v/>
      </c>
    </row>
    <row r="935" spans="2:11" x14ac:dyDescent="0.25">
      <c r="B935">
        <v>9337</v>
      </c>
      <c r="H935">
        <f t="shared" si="51"/>
        <v>0</v>
      </c>
      <c r="I935" s="9" t="str" cm="1">
        <f t="array" ref="I935">_xlfn.LET(_xlpm.total,SUM(D935:G935),_xlpm.maxv,MAX(D935:G935),IF(_xlpm.total=0,"",IF(_xlpm.maxv/_xlpm.total&lt;0.5,"Mixed-Class",_xlfn.IFS(_xlpm.maxv=D935,"Assault",_xlpm.maxv=E935,"Engineer",_xlpm.maxv=F935,"Recon",_xlpm.maxv=G935,"Support"))))</f>
        <v/>
      </c>
      <c r="J935" t="str">
        <f t="shared" si="52"/>
        <v/>
      </c>
      <c r="K935" s="10" t="str">
        <f t="shared" si="53"/>
        <v/>
      </c>
    </row>
    <row r="936" spans="2:11" x14ac:dyDescent="0.25">
      <c r="B936">
        <v>9347</v>
      </c>
      <c r="H936">
        <f t="shared" si="51"/>
        <v>0</v>
      </c>
      <c r="I936" s="9" t="str" cm="1">
        <f t="array" ref="I936">_xlfn.LET(_xlpm.total,SUM(D936:G936),_xlpm.maxv,MAX(D936:G936),IF(_xlpm.total=0,"",IF(_xlpm.maxv/_xlpm.total&lt;0.5,"Mixed-Class",_xlfn.IFS(_xlpm.maxv=D936,"Assault",_xlpm.maxv=E936,"Engineer",_xlpm.maxv=F936,"Recon",_xlpm.maxv=G936,"Support"))))</f>
        <v/>
      </c>
      <c r="J936" t="str">
        <f t="shared" si="52"/>
        <v/>
      </c>
      <c r="K936" s="10" t="str">
        <f t="shared" si="53"/>
        <v/>
      </c>
    </row>
    <row r="937" spans="2:11" x14ac:dyDescent="0.25">
      <c r="B937">
        <v>9357</v>
      </c>
      <c r="H937">
        <f t="shared" si="51"/>
        <v>0</v>
      </c>
      <c r="I937" s="9" t="str" cm="1">
        <f t="array" ref="I937">_xlfn.LET(_xlpm.total,SUM(D937:G937),_xlpm.maxv,MAX(D937:G937),IF(_xlpm.total=0,"",IF(_xlpm.maxv/_xlpm.total&lt;0.5,"Mixed-Class",_xlfn.IFS(_xlpm.maxv=D937,"Assault",_xlpm.maxv=E937,"Engineer",_xlpm.maxv=F937,"Recon",_xlpm.maxv=G937,"Support"))))</f>
        <v/>
      </c>
      <c r="J937" t="str">
        <f t="shared" si="52"/>
        <v/>
      </c>
      <c r="K937" s="10" t="str">
        <f t="shared" si="53"/>
        <v/>
      </c>
    </row>
    <row r="938" spans="2:11" x14ac:dyDescent="0.25">
      <c r="B938">
        <v>9367</v>
      </c>
      <c r="H938">
        <f t="shared" si="51"/>
        <v>0</v>
      </c>
      <c r="I938" s="9" t="str" cm="1">
        <f t="array" ref="I938">_xlfn.LET(_xlpm.total,SUM(D938:G938),_xlpm.maxv,MAX(D938:G938),IF(_xlpm.total=0,"",IF(_xlpm.maxv/_xlpm.total&lt;0.5,"Mixed-Class",_xlfn.IFS(_xlpm.maxv=D938,"Assault",_xlpm.maxv=E938,"Engineer",_xlpm.maxv=F938,"Recon",_xlpm.maxv=G938,"Support"))))</f>
        <v/>
      </c>
      <c r="J938" t="str">
        <f t="shared" si="52"/>
        <v/>
      </c>
      <c r="K938" s="10" t="str">
        <f t="shared" si="53"/>
        <v/>
      </c>
    </row>
    <row r="939" spans="2:11" x14ac:dyDescent="0.25">
      <c r="B939">
        <v>9377</v>
      </c>
      <c r="H939">
        <f t="shared" si="51"/>
        <v>0</v>
      </c>
      <c r="I939" s="9" t="str" cm="1">
        <f t="array" ref="I939">_xlfn.LET(_xlpm.total,SUM(D939:G939),_xlpm.maxv,MAX(D939:G939),IF(_xlpm.total=0,"",IF(_xlpm.maxv/_xlpm.total&lt;0.5,"Mixed-Class",_xlfn.IFS(_xlpm.maxv=D939,"Assault",_xlpm.maxv=E939,"Engineer",_xlpm.maxv=F939,"Recon",_xlpm.maxv=G939,"Support"))))</f>
        <v/>
      </c>
      <c r="J939" t="str">
        <f t="shared" si="52"/>
        <v/>
      </c>
      <c r="K939" s="10" t="str">
        <f t="shared" si="53"/>
        <v/>
      </c>
    </row>
    <row r="940" spans="2:11" x14ac:dyDescent="0.25">
      <c r="B940">
        <v>9387</v>
      </c>
      <c r="H940">
        <f t="shared" si="51"/>
        <v>0</v>
      </c>
      <c r="I940" s="9" t="str" cm="1">
        <f t="array" ref="I940">_xlfn.LET(_xlpm.total,SUM(D940:G940),_xlpm.maxv,MAX(D940:G940),IF(_xlpm.total=0,"",IF(_xlpm.maxv/_xlpm.total&lt;0.5,"Mixed-Class",_xlfn.IFS(_xlpm.maxv=D940,"Assault",_xlpm.maxv=E940,"Engineer",_xlpm.maxv=F940,"Recon",_xlpm.maxv=G940,"Support"))))</f>
        <v/>
      </c>
      <c r="J940" t="str">
        <f t="shared" si="52"/>
        <v/>
      </c>
      <c r="K940" s="10" t="str">
        <f t="shared" si="53"/>
        <v/>
      </c>
    </row>
    <row r="941" spans="2:11" x14ac:dyDescent="0.25">
      <c r="B941">
        <v>9397</v>
      </c>
      <c r="H941">
        <f t="shared" si="51"/>
        <v>0</v>
      </c>
      <c r="I941" s="9" t="str" cm="1">
        <f t="array" ref="I941">_xlfn.LET(_xlpm.total,SUM(D941:G941),_xlpm.maxv,MAX(D941:G941),IF(_xlpm.total=0,"",IF(_xlpm.maxv/_xlpm.total&lt;0.5,"Mixed-Class",_xlfn.IFS(_xlpm.maxv=D941,"Assault",_xlpm.maxv=E941,"Engineer",_xlpm.maxv=F941,"Recon",_xlpm.maxv=G941,"Support"))))</f>
        <v/>
      </c>
      <c r="J941" t="str">
        <f t="shared" si="52"/>
        <v/>
      </c>
      <c r="K941" s="10" t="str">
        <f t="shared" si="53"/>
        <v/>
      </c>
    </row>
    <row r="942" spans="2:11" x14ac:dyDescent="0.25">
      <c r="B942">
        <v>9407</v>
      </c>
      <c r="H942">
        <f t="shared" si="51"/>
        <v>0</v>
      </c>
      <c r="I942" s="9" t="str" cm="1">
        <f t="array" ref="I942">_xlfn.LET(_xlpm.total,SUM(D942:G942),_xlpm.maxv,MAX(D942:G942),IF(_xlpm.total=0,"",IF(_xlpm.maxv/_xlpm.total&lt;0.5,"Mixed-Class",_xlfn.IFS(_xlpm.maxv=D942,"Assault",_xlpm.maxv=E942,"Engineer",_xlpm.maxv=F942,"Recon",_xlpm.maxv=G942,"Support"))))</f>
        <v/>
      </c>
      <c r="J942" t="str">
        <f t="shared" si="52"/>
        <v/>
      </c>
      <c r="K942" s="10" t="str">
        <f t="shared" si="53"/>
        <v/>
      </c>
    </row>
    <row r="943" spans="2:11" x14ac:dyDescent="0.25">
      <c r="B943">
        <v>9417</v>
      </c>
      <c r="H943">
        <f t="shared" si="51"/>
        <v>0</v>
      </c>
      <c r="I943" s="9" t="str" cm="1">
        <f t="array" ref="I943">_xlfn.LET(_xlpm.total,SUM(D943:G943),_xlpm.maxv,MAX(D943:G943),IF(_xlpm.total=0,"",IF(_xlpm.maxv/_xlpm.total&lt;0.5,"Mixed-Class",_xlfn.IFS(_xlpm.maxv=D943,"Assault",_xlpm.maxv=E943,"Engineer",_xlpm.maxv=F943,"Recon",_xlpm.maxv=G943,"Support"))))</f>
        <v/>
      </c>
      <c r="J943" t="str">
        <f t="shared" si="52"/>
        <v/>
      </c>
      <c r="K943" s="10" t="str">
        <f t="shared" si="53"/>
        <v/>
      </c>
    </row>
    <row r="944" spans="2:11" x14ac:dyDescent="0.25">
      <c r="B944">
        <v>9427</v>
      </c>
      <c r="H944">
        <f t="shared" si="51"/>
        <v>0</v>
      </c>
      <c r="I944" s="9" t="str" cm="1">
        <f t="array" ref="I944">_xlfn.LET(_xlpm.total,SUM(D944:G944),_xlpm.maxv,MAX(D944:G944),IF(_xlpm.total=0,"",IF(_xlpm.maxv/_xlpm.total&lt;0.5,"Mixed-Class",_xlfn.IFS(_xlpm.maxv=D944,"Assault",_xlpm.maxv=E944,"Engineer",_xlpm.maxv=F944,"Recon",_xlpm.maxv=G944,"Support"))))</f>
        <v/>
      </c>
      <c r="J944" t="str">
        <f t="shared" si="52"/>
        <v/>
      </c>
      <c r="K944" s="10" t="str">
        <f t="shared" si="53"/>
        <v/>
      </c>
    </row>
    <row r="945" spans="2:11" x14ac:dyDescent="0.25">
      <c r="B945">
        <v>9437</v>
      </c>
      <c r="H945">
        <f t="shared" si="51"/>
        <v>0</v>
      </c>
      <c r="I945" s="9" t="str" cm="1">
        <f t="array" ref="I945">_xlfn.LET(_xlpm.total,SUM(D945:G945),_xlpm.maxv,MAX(D945:G945),IF(_xlpm.total=0,"",IF(_xlpm.maxv/_xlpm.total&lt;0.5,"Mixed-Class",_xlfn.IFS(_xlpm.maxv=D945,"Assault",_xlpm.maxv=E945,"Engineer",_xlpm.maxv=F945,"Recon",_xlpm.maxv=G945,"Support"))))</f>
        <v/>
      </c>
      <c r="J945" t="str">
        <f t="shared" si="52"/>
        <v/>
      </c>
      <c r="K945" s="10" t="str">
        <f t="shared" si="53"/>
        <v/>
      </c>
    </row>
    <row r="946" spans="2:11" x14ac:dyDescent="0.25">
      <c r="B946">
        <v>9447</v>
      </c>
      <c r="H946">
        <f t="shared" si="51"/>
        <v>0</v>
      </c>
      <c r="I946" s="9" t="str" cm="1">
        <f t="array" ref="I946">_xlfn.LET(_xlpm.total,SUM(D946:G946),_xlpm.maxv,MAX(D946:G946),IF(_xlpm.total=0,"",IF(_xlpm.maxv/_xlpm.total&lt;0.5,"Mixed-Class",_xlfn.IFS(_xlpm.maxv=D946,"Assault",_xlpm.maxv=E946,"Engineer",_xlpm.maxv=F946,"Recon",_xlpm.maxv=G946,"Support"))))</f>
        <v/>
      </c>
      <c r="J946" t="str">
        <f t="shared" si="52"/>
        <v/>
      </c>
      <c r="K946" s="10" t="str">
        <f t="shared" si="53"/>
        <v/>
      </c>
    </row>
    <row r="947" spans="2:11" x14ac:dyDescent="0.25">
      <c r="B947">
        <v>9457</v>
      </c>
      <c r="H947">
        <f t="shared" si="51"/>
        <v>0</v>
      </c>
      <c r="I947" s="9" t="str" cm="1">
        <f t="array" ref="I947">_xlfn.LET(_xlpm.total,SUM(D947:G947),_xlpm.maxv,MAX(D947:G947),IF(_xlpm.total=0,"",IF(_xlpm.maxv/_xlpm.total&lt;0.5,"Mixed-Class",_xlfn.IFS(_xlpm.maxv=D947,"Assault",_xlpm.maxv=E947,"Engineer",_xlpm.maxv=F947,"Recon",_xlpm.maxv=G947,"Support"))))</f>
        <v/>
      </c>
      <c r="J947" t="str">
        <f t="shared" si="52"/>
        <v/>
      </c>
      <c r="K947" s="10" t="str">
        <f t="shared" si="53"/>
        <v/>
      </c>
    </row>
    <row r="948" spans="2:11" x14ac:dyDescent="0.25">
      <c r="B948">
        <v>9467</v>
      </c>
      <c r="H948">
        <f t="shared" si="51"/>
        <v>0</v>
      </c>
      <c r="I948" s="9" t="str" cm="1">
        <f t="array" ref="I948">_xlfn.LET(_xlpm.total,SUM(D948:G948),_xlpm.maxv,MAX(D948:G948),IF(_xlpm.total=0,"",IF(_xlpm.maxv/_xlpm.total&lt;0.5,"Mixed-Class",_xlfn.IFS(_xlpm.maxv=D948,"Assault",_xlpm.maxv=E948,"Engineer",_xlpm.maxv=F948,"Recon",_xlpm.maxv=G948,"Support"))))</f>
        <v/>
      </c>
      <c r="J948" t="str">
        <f t="shared" si="52"/>
        <v/>
      </c>
      <c r="K948" s="10" t="str">
        <f t="shared" si="53"/>
        <v/>
      </c>
    </row>
    <row r="949" spans="2:11" x14ac:dyDescent="0.25">
      <c r="B949">
        <v>9477</v>
      </c>
      <c r="H949">
        <f t="shared" si="51"/>
        <v>0</v>
      </c>
      <c r="I949" s="9" t="str" cm="1">
        <f t="array" ref="I949">_xlfn.LET(_xlpm.total,SUM(D949:G949),_xlpm.maxv,MAX(D949:G949),IF(_xlpm.total=0,"",IF(_xlpm.maxv/_xlpm.total&lt;0.5,"Mixed-Class",_xlfn.IFS(_xlpm.maxv=D949,"Assault",_xlpm.maxv=E949,"Engineer",_xlpm.maxv=F949,"Recon",_xlpm.maxv=G949,"Support"))))</f>
        <v/>
      </c>
      <c r="J949" t="str">
        <f t="shared" si="52"/>
        <v/>
      </c>
      <c r="K949" s="10" t="str">
        <f t="shared" si="53"/>
        <v/>
      </c>
    </row>
    <row r="950" spans="2:11" x14ac:dyDescent="0.25">
      <c r="B950">
        <v>9487</v>
      </c>
      <c r="H950">
        <f t="shared" si="51"/>
        <v>0</v>
      </c>
      <c r="I950" s="9" t="str" cm="1">
        <f t="array" ref="I950">_xlfn.LET(_xlpm.total,SUM(D950:G950),_xlpm.maxv,MAX(D950:G950),IF(_xlpm.total=0,"",IF(_xlpm.maxv/_xlpm.total&lt;0.5,"Mixed-Class",_xlfn.IFS(_xlpm.maxv=D950,"Assault",_xlpm.maxv=E950,"Engineer",_xlpm.maxv=F950,"Recon",_xlpm.maxv=G950,"Support"))))</f>
        <v/>
      </c>
      <c r="J950" t="str">
        <f t="shared" si="52"/>
        <v/>
      </c>
      <c r="K950" s="10" t="str">
        <f t="shared" si="53"/>
        <v/>
      </c>
    </row>
    <row r="951" spans="2:11" x14ac:dyDescent="0.25">
      <c r="B951">
        <v>9497</v>
      </c>
      <c r="H951">
        <f t="shared" si="51"/>
        <v>0</v>
      </c>
      <c r="I951" s="9" t="str" cm="1">
        <f t="array" ref="I951">_xlfn.LET(_xlpm.total,SUM(D951:G951),_xlpm.maxv,MAX(D951:G951),IF(_xlpm.total=0,"",IF(_xlpm.maxv/_xlpm.total&lt;0.5,"Mixed-Class",_xlfn.IFS(_xlpm.maxv=D951,"Assault",_xlpm.maxv=E951,"Engineer",_xlpm.maxv=F951,"Recon",_xlpm.maxv=G951,"Support"))))</f>
        <v/>
      </c>
      <c r="J951" t="str">
        <f t="shared" si="52"/>
        <v/>
      </c>
      <c r="K951" s="10" t="str">
        <f t="shared" si="53"/>
        <v/>
      </c>
    </row>
    <row r="952" spans="2:11" x14ac:dyDescent="0.25">
      <c r="B952">
        <v>9507</v>
      </c>
      <c r="H952">
        <f t="shared" si="51"/>
        <v>0</v>
      </c>
      <c r="I952" s="9" t="str" cm="1">
        <f t="array" ref="I952">_xlfn.LET(_xlpm.total,SUM(D952:G952),_xlpm.maxv,MAX(D952:G952),IF(_xlpm.total=0,"",IF(_xlpm.maxv/_xlpm.total&lt;0.5,"Mixed-Class",_xlfn.IFS(_xlpm.maxv=D952,"Assault",_xlpm.maxv=E952,"Engineer",_xlpm.maxv=F952,"Recon",_xlpm.maxv=G952,"Support"))))</f>
        <v/>
      </c>
      <c r="J952" t="str">
        <f t="shared" si="52"/>
        <v/>
      </c>
      <c r="K952" s="10" t="str">
        <f t="shared" si="53"/>
        <v/>
      </c>
    </row>
    <row r="953" spans="2:11" x14ac:dyDescent="0.25">
      <c r="B953">
        <v>9517</v>
      </c>
      <c r="H953">
        <f t="shared" si="51"/>
        <v>0</v>
      </c>
      <c r="I953" s="9" t="str" cm="1">
        <f t="array" ref="I953">_xlfn.LET(_xlpm.total,SUM(D953:G953),_xlpm.maxv,MAX(D953:G953),IF(_xlpm.total=0,"",IF(_xlpm.maxv/_xlpm.total&lt;0.5,"Mixed-Class",_xlfn.IFS(_xlpm.maxv=D953,"Assault",_xlpm.maxv=E953,"Engineer",_xlpm.maxv=F953,"Recon",_xlpm.maxv=G953,"Support"))))</f>
        <v/>
      </c>
      <c r="J953" t="str">
        <f t="shared" si="52"/>
        <v/>
      </c>
      <c r="K953" s="10" t="str">
        <f t="shared" si="53"/>
        <v/>
      </c>
    </row>
    <row r="954" spans="2:11" x14ac:dyDescent="0.25">
      <c r="B954">
        <v>9527</v>
      </c>
      <c r="H954">
        <f t="shared" si="51"/>
        <v>0</v>
      </c>
      <c r="I954" s="9" t="str" cm="1">
        <f t="array" ref="I954">_xlfn.LET(_xlpm.total,SUM(D954:G954),_xlpm.maxv,MAX(D954:G954),IF(_xlpm.total=0,"",IF(_xlpm.maxv/_xlpm.total&lt;0.5,"Mixed-Class",_xlfn.IFS(_xlpm.maxv=D954,"Assault",_xlpm.maxv=E954,"Engineer",_xlpm.maxv=F954,"Recon",_xlpm.maxv=G954,"Support"))))</f>
        <v/>
      </c>
      <c r="J954" t="str">
        <f t="shared" si="52"/>
        <v/>
      </c>
      <c r="K954" s="10" t="str">
        <f t="shared" si="53"/>
        <v/>
      </c>
    </row>
    <row r="955" spans="2:11" x14ac:dyDescent="0.25">
      <c r="B955">
        <v>9537</v>
      </c>
      <c r="H955">
        <f t="shared" si="51"/>
        <v>0</v>
      </c>
      <c r="I955" s="9" t="str" cm="1">
        <f t="array" ref="I955">_xlfn.LET(_xlpm.total,SUM(D955:G955),_xlpm.maxv,MAX(D955:G955),IF(_xlpm.total=0,"",IF(_xlpm.maxv/_xlpm.total&lt;0.5,"Mixed-Class",_xlfn.IFS(_xlpm.maxv=D955,"Assault",_xlpm.maxv=E955,"Engineer",_xlpm.maxv=F955,"Recon",_xlpm.maxv=G955,"Support"))))</f>
        <v/>
      </c>
      <c r="J955" t="str">
        <f t="shared" si="52"/>
        <v/>
      </c>
      <c r="K955" s="10" t="str">
        <f t="shared" si="53"/>
        <v/>
      </c>
    </row>
    <row r="956" spans="2:11" x14ac:dyDescent="0.25">
      <c r="B956">
        <v>9547</v>
      </c>
      <c r="H956">
        <f t="shared" si="51"/>
        <v>0</v>
      </c>
      <c r="I956" s="9" t="str" cm="1">
        <f t="array" ref="I956">_xlfn.LET(_xlpm.total,SUM(D956:G956),_xlpm.maxv,MAX(D956:G956),IF(_xlpm.total=0,"",IF(_xlpm.maxv/_xlpm.total&lt;0.5,"Mixed-Class",_xlfn.IFS(_xlpm.maxv=D956,"Assault",_xlpm.maxv=E956,"Engineer",_xlpm.maxv=F956,"Recon",_xlpm.maxv=G956,"Support"))))</f>
        <v/>
      </c>
      <c r="J956" t="str">
        <f t="shared" si="52"/>
        <v/>
      </c>
      <c r="K956" s="10" t="str">
        <f t="shared" si="53"/>
        <v/>
      </c>
    </row>
    <row r="957" spans="2:11" x14ac:dyDescent="0.25">
      <c r="B957">
        <v>9557</v>
      </c>
      <c r="H957">
        <f t="shared" si="51"/>
        <v>0</v>
      </c>
      <c r="I957" s="9" t="str" cm="1">
        <f t="array" ref="I957">_xlfn.LET(_xlpm.total,SUM(D957:G957),_xlpm.maxv,MAX(D957:G957),IF(_xlpm.total=0,"",IF(_xlpm.maxv/_xlpm.total&lt;0.5,"Mixed-Class",_xlfn.IFS(_xlpm.maxv=D957,"Assault",_xlpm.maxv=E957,"Engineer",_xlpm.maxv=F957,"Recon",_xlpm.maxv=G957,"Support"))))</f>
        <v/>
      </c>
      <c r="J957" t="str">
        <f t="shared" si="52"/>
        <v/>
      </c>
      <c r="K957" s="10" t="str">
        <f t="shared" si="53"/>
        <v/>
      </c>
    </row>
    <row r="958" spans="2:11" x14ac:dyDescent="0.25">
      <c r="B958">
        <v>9567</v>
      </c>
      <c r="H958">
        <f t="shared" si="51"/>
        <v>0</v>
      </c>
      <c r="I958" s="9" t="str" cm="1">
        <f t="array" ref="I958">_xlfn.LET(_xlpm.total,SUM(D958:G958),_xlpm.maxv,MAX(D958:G958),IF(_xlpm.total=0,"",IF(_xlpm.maxv/_xlpm.total&lt;0.5,"Mixed-Class",_xlfn.IFS(_xlpm.maxv=D958,"Assault",_xlpm.maxv=E958,"Engineer",_xlpm.maxv=F958,"Recon",_xlpm.maxv=G958,"Support"))))</f>
        <v/>
      </c>
      <c r="J958" t="str">
        <f t="shared" si="52"/>
        <v/>
      </c>
      <c r="K958" s="10" t="str">
        <f t="shared" si="53"/>
        <v/>
      </c>
    </row>
    <row r="959" spans="2:11" x14ac:dyDescent="0.25">
      <c r="B959">
        <v>9577</v>
      </c>
      <c r="H959">
        <f t="shared" si="51"/>
        <v>0</v>
      </c>
      <c r="I959" s="9" t="str" cm="1">
        <f t="array" ref="I959">_xlfn.LET(_xlpm.total,SUM(D959:G959),_xlpm.maxv,MAX(D959:G959),IF(_xlpm.total=0,"",IF(_xlpm.maxv/_xlpm.total&lt;0.5,"Mixed-Class",_xlfn.IFS(_xlpm.maxv=D959,"Assault",_xlpm.maxv=E959,"Engineer",_xlpm.maxv=F959,"Recon",_xlpm.maxv=G959,"Support"))))</f>
        <v/>
      </c>
      <c r="J959" t="str">
        <f t="shared" si="52"/>
        <v/>
      </c>
      <c r="K959" s="10" t="str">
        <f t="shared" si="53"/>
        <v/>
      </c>
    </row>
    <row r="960" spans="2:11" x14ac:dyDescent="0.25">
      <c r="B960">
        <v>9587</v>
      </c>
      <c r="H960">
        <f t="shared" si="51"/>
        <v>0</v>
      </c>
      <c r="I960" s="9" t="str" cm="1">
        <f t="array" ref="I960">_xlfn.LET(_xlpm.total,SUM(D960:G960),_xlpm.maxv,MAX(D960:G960),IF(_xlpm.total=0,"",IF(_xlpm.maxv/_xlpm.total&lt;0.5,"Mixed-Class",_xlfn.IFS(_xlpm.maxv=D960,"Assault",_xlpm.maxv=E960,"Engineer",_xlpm.maxv=F960,"Recon",_xlpm.maxv=G960,"Support"))))</f>
        <v/>
      </c>
      <c r="J960" t="str">
        <f t="shared" si="52"/>
        <v/>
      </c>
      <c r="K960" s="10" t="str">
        <f t="shared" si="53"/>
        <v/>
      </c>
    </row>
    <row r="961" spans="2:11" x14ac:dyDescent="0.25">
      <c r="B961">
        <v>9597</v>
      </c>
      <c r="H961">
        <f t="shared" si="51"/>
        <v>0</v>
      </c>
      <c r="I961" s="9" t="str" cm="1">
        <f t="array" ref="I961">_xlfn.LET(_xlpm.total,SUM(D961:G961),_xlpm.maxv,MAX(D961:G961),IF(_xlpm.total=0,"",IF(_xlpm.maxv/_xlpm.total&lt;0.5,"Mixed-Class",_xlfn.IFS(_xlpm.maxv=D961,"Assault",_xlpm.maxv=E961,"Engineer",_xlpm.maxv=F961,"Recon",_xlpm.maxv=G961,"Support"))))</f>
        <v/>
      </c>
      <c r="J961" t="str">
        <f t="shared" si="52"/>
        <v/>
      </c>
      <c r="K961" s="10" t="str">
        <f t="shared" si="53"/>
        <v/>
      </c>
    </row>
    <row r="962" spans="2:11" x14ac:dyDescent="0.25">
      <c r="B962">
        <v>9607</v>
      </c>
      <c r="H962">
        <f t="shared" si="51"/>
        <v>0</v>
      </c>
      <c r="I962" s="9" t="str" cm="1">
        <f t="array" ref="I962">_xlfn.LET(_xlpm.total,SUM(D962:G962),_xlpm.maxv,MAX(D962:G962),IF(_xlpm.total=0,"",IF(_xlpm.maxv/_xlpm.total&lt;0.5,"Mixed-Class",_xlfn.IFS(_xlpm.maxv=D962,"Assault",_xlpm.maxv=E962,"Engineer",_xlpm.maxv=F962,"Recon",_xlpm.maxv=G962,"Support"))))</f>
        <v/>
      </c>
      <c r="J962" t="str">
        <f t="shared" si="52"/>
        <v/>
      </c>
      <c r="K962" s="10" t="str">
        <f t="shared" si="53"/>
        <v/>
      </c>
    </row>
    <row r="963" spans="2:11" x14ac:dyDescent="0.25">
      <c r="B963">
        <v>9617</v>
      </c>
      <c r="H963">
        <f t="shared" ref="H963:H1001" si="54">SUM(D963:G963)</f>
        <v>0</v>
      </c>
      <c r="I963" s="9" t="str" cm="1">
        <f t="array" ref="I963">_xlfn.LET(_xlpm.total,SUM(D963:G963),_xlpm.maxv,MAX(D963:G963),IF(_xlpm.total=0,"",IF(_xlpm.maxv/_xlpm.total&lt;0.5,"Mixed-Class",_xlfn.IFS(_xlpm.maxv=D963,"Assault",_xlpm.maxv=E963,"Engineer",_xlpm.maxv=F963,"Recon",_xlpm.maxv=G963,"Support"))))</f>
        <v/>
      </c>
      <c r="J963" t="str">
        <f t="shared" ref="J963:J1001" si="55">_xlfn.LET(_xlpm.total,SUM(D963:G963),IF(_xlpm.total=0,"",MAX(D963:G963)/_xlpm.total&gt;=0.5))</f>
        <v/>
      </c>
      <c r="K963" s="10" t="str">
        <f t="shared" ref="K963:K1001" si="56">_xlfn.LET(_xlpm.total,SUM(D963:G963),IF(_xlpm.total=0,"",MAX(D963:G963)/_xlpm.total))</f>
        <v/>
      </c>
    </row>
    <row r="964" spans="2:11" x14ac:dyDescent="0.25">
      <c r="B964">
        <v>9627</v>
      </c>
      <c r="H964">
        <f t="shared" si="54"/>
        <v>0</v>
      </c>
      <c r="I964" s="9" t="str" cm="1">
        <f t="array" ref="I964">_xlfn.LET(_xlpm.total,SUM(D964:G964),_xlpm.maxv,MAX(D964:G964),IF(_xlpm.total=0,"",IF(_xlpm.maxv/_xlpm.total&lt;0.5,"Mixed-Class",_xlfn.IFS(_xlpm.maxv=D964,"Assault",_xlpm.maxv=E964,"Engineer",_xlpm.maxv=F964,"Recon",_xlpm.maxv=G964,"Support"))))</f>
        <v/>
      </c>
      <c r="J964" t="str">
        <f t="shared" si="55"/>
        <v/>
      </c>
      <c r="K964" s="10" t="str">
        <f t="shared" si="56"/>
        <v/>
      </c>
    </row>
    <row r="965" spans="2:11" x14ac:dyDescent="0.25">
      <c r="B965">
        <v>9637</v>
      </c>
      <c r="H965">
        <f t="shared" si="54"/>
        <v>0</v>
      </c>
      <c r="I965" s="9" t="str" cm="1">
        <f t="array" ref="I965">_xlfn.LET(_xlpm.total,SUM(D965:G965),_xlpm.maxv,MAX(D965:G965),IF(_xlpm.total=0,"",IF(_xlpm.maxv/_xlpm.total&lt;0.5,"Mixed-Class",_xlfn.IFS(_xlpm.maxv=D965,"Assault",_xlpm.maxv=E965,"Engineer",_xlpm.maxv=F965,"Recon",_xlpm.maxv=G965,"Support"))))</f>
        <v/>
      </c>
      <c r="J965" t="str">
        <f t="shared" si="55"/>
        <v/>
      </c>
      <c r="K965" s="10" t="str">
        <f t="shared" si="56"/>
        <v/>
      </c>
    </row>
    <row r="966" spans="2:11" x14ac:dyDescent="0.25">
      <c r="B966">
        <v>9647</v>
      </c>
      <c r="H966">
        <f t="shared" si="54"/>
        <v>0</v>
      </c>
      <c r="I966" s="9" t="str" cm="1">
        <f t="array" ref="I966">_xlfn.LET(_xlpm.total,SUM(D966:G966),_xlpm.maxv,MAX(D966:G966),IF(_xlpm.total=0,"",IF(_xlpm.maxv/_xlpm.total&lt;0.5,"Mixed-Class",_xlfn.IFS(_xlpm.maxv=D966,"Assault",_xlpm.maxv=E966,"Engineer",_xlpm.maxv=F966,"Recon",_xlpm.maxv=G966,"Support"))))</f>
        <v/>
      </c>
      <c r="J966" t="str">
        <f t="shared" si="55"/>
        <v/>
      </c>
      <c r="K966" s="10" t="str">
        <f t="shared" si="56"/>
        <v/>
      </c>
    </row>
    <row r="967" spans="2:11" x14ac:dyDescent="0.25">
      <c r="B967">
        <v>9657</v>
      </c>
      <c r="H967">
        <f t="shared" si="54"/>
        <v>0</v>
      </c>
      <c r="I967" s="9" t="str" cm="1">
        <f t="array" ref="I967">_xlfn.LET(_xlpm.total,SUM(D967:G967),_xlpm.maxv,MAX(D967:G967),IF(_xlpm.total=0,"",IF(_xlpm.maxv/_xlpm.total&lt;0.5,"Mixed-Class",_xlfn.IFS(_xlpm.maxv=D967,"Assault",_xlpm.maxv=E967,"Engineer",_xlpm.maxv=F967,"Recon",_xlpm.maxv=G967,"Support"))))</f>
        <v/>
      </c>
      <c r="J967" t="str">
        <f t="shared" si="55"/>
        <v/>
      </c>
      <c r="K967" s="10" t="str">
        <f t="shared" si="56"/>
        <v/>
      </c>
    </row>
    <row r="968" spans="2:11" x14ac:dyDescent="0.25">
      <c r="B968">
        <v>9667</v>
      </c>
      <c r="H968">
        <f t="shared" si="54"/>
        <v>0</v>
      </c>
      <c r="I968" s="9" t="str" cm="1">
        <f t="array" ref="I968">_xlfn.LET(_xlpm.total,SUM(D968:G968),_xlpm.maxv,MAX(D968:G968),IF(_xlpm.total=0,"",IF(_xlpm.maxv/_xlpm.total&lt;0.5,"Mixed-Class",_xlfn.IFS(_xlpm.maxv=D968,"Assault",_xlpm.maxv=E968,"Engineer",_xlpm.maxv=F968,"Recon",_xlpm.maxv=G968,"Support"))))</f>
        <v/>
      </c>
      <c r="J968" t="str">
        <f t="shared" si="55"/>
        <v/>
      </c>
      <c r="K968" s="10" t="str">
        <f t="shared" si="56"/>
        <v/>
      </c>
    </row>
    <row r="969" spans="2:11" x14ac:dyDescent="0.25">
      <c r="B969">
        <v>9677</v>
      </c>
      <c r="H969">
        <f t="shared" si="54"/>
        <v>0</v>
      </c>
      <c r="I969" s="9" t="str" cm="1">
        <f t="array" ref="I969">_xlfn.LET(_xlpm.total,SUM(D969:G969),_xlpm.maxv,MAX(D969:G969),IF(_xlpm.total=0,"",IF(_xlpm.maxv/_xlpm.total&lt;0.5,"Mixed-Class",_xlfn.IFS(_xlpm.maxv=D969,"Assault",_xlpm.maxv=E969,"Engineer",_xlpm.maxv=F969,"Recon",_xlpm.maxv=G969,"Support"))))</f>
        <v/>
      </c>
      <c r="J969" t="str">
        <f t="shared" si="55"/>
        <v/>
      </c>
      <c r="K969" s="10" t="str">
        <f t="shared" si="56"/>
        <v/>
      </c>
    </row>
    <row r="970" spans="2:11" x14ac:dyDescent="0.25">
      <c r="B970">
        <v>9687</v>
      </c>
      <c r="H970">
        <f t="shared" si="54"/>
        <v>0</v>
      </c>
      <c r="I970" s="9" t="str" cm="1">
        <f t="array" ref="I970">_xlfn.LET(_xlpm.total,SUM(D970:G970),_xlpm.maxv,MAX(D970:G970),IF(_xlpm.total=0,"",IF(_xlpm.maxv/_xlpm.total&lt;0.5,"Mixed-Class",_xlfn.IFS(_xlpm.maxv=D970,"Assault",_xlpm.maxv=E970,"Engineer",_xlpm.maxv=F970,"Recon",_xlpm.maxv=G970,"Support"))))</f>
        <v/>
      </c>
      <c r="J970" t="str">
        <f t="shared" si="55"/>
        <v/>
      </c>
      <c r="K970" s="10" t="str">
        <f t="shared" si="56"/>
        <v/>
      </c>
    </row>
    <row r="971" spans="2:11" x14ac:dyDescent="0.25">
      <c r="B971">
        <v>9697</v>
      </c>
      <c r="H971">
        <f t="shared" si="54"/>
        <v>0</v>
      </c>
      <c r="I971" s="9" t="str" cm="1">
        <f t="array" ref="I971">_xlfn.LET(_xlpm.total,SUM(D971:G971),_xlpm.maxv,MAX(D971:G971),IF(_xlpm.total=0,"",IF(_xlpm.maxv/_xlpm.total&lt;0.5,"Mixed-Class",_xlfn.IFS(_xlpm.maxv=D971,"Assault",_xlpm.maxv=E971,"Engineer",_xlpm.maxv=F971,"Recon",_xlpm.maxv=G971,"Support"))))</f>
        <v/>
      </c>
      <c r="J971" t="str">
        <f t="shared" si="55"/>
        <v/>
      </c>
      <c r="K971" s="10" t="str">
        <f t="shared" si="56"/>
        <v/>
      </c>
    </row>
    <row r="972" spans="2:11" x14ac:dyDescent="0.25">
      <c r="B972">
        <v>9707</v>
      </c>
      <c r="H972">
        <f t="shared" si="54"/>
        <v>0</v>
      </c>
      <c r="I972" s="9" t="str" cm="1">
        <f t="array" ref="I972">_xlfn.LET(_xlpm.total,SUM(D972:G972),_xlpm.maxv,MAX(D972:G972),IF(_xlpm.total=0,"",IF(_xlpm.maxv/_xlpm.total&lt;0.5,"Mixed-Class",_xlfn.IFS(_xlpm.maxv=D972,"Assault",_xlpm.maxv=E972,"Engineer",_xlpm.maxv=F972,"Recon",_xlpm.maxv=G972,"Support"))))</f>
        <v/>
      </c>
      <c r="J972" t="str">
        <f t="shared" si="55"/>
        <v/>
      </c>
      <c r="K972" s="10" t="str">
        <f t="shared" si="56"/>
        <v/>
      </c>
    </row>
    <row r="973" spans="2:11" x14ac:dyDescent="0.25">
      <c r="B973">
        <v>9717</v>
      </c>
      <c r="H973">
        <f t="shared" si="54"/>
        <v>0</v>
      </c>
      <c r="I973" s="9" t="str" cm="1">
        <f t="array" ref="I973">_xlfn.LET(_xlpm.total,SUM(D973:G973),_xlpm.maxv,MAX(D973:G973),IF(_xlpm.total=0,"",IF(_xlpm.maxv/_xlpm.total&lt;0.5,"Mixed-Class",_xlfn.IFS(_xlpm.maxv=D973,"Assault",_xlpm.maxv=E973,"Engineer",_xlpm.maxv=F973,"Recon",_xlpm.maxv=G973,"Support"))))</f>
        <v/>
      </c>
      <c r="J973" t="str">
        <f t="shared" si="55"/>
        <v/>
      </c>
      <c r="K973" s="10" t="str">
        <f t="shared" si="56"/>
        <v/>
      </c>
    </row>
    <row r="974" spans="2:11" x14ac:dyDescent="0.25">
      <c r="B974">
        <v>9727</v>
      </c>
      <c r="H974">
        <f t="shared" si="54"/>
        <v>0</v>
      </c>
      <c r="I974" s="9" t="str" cm="1">
        <f t="array" ref="I974">_xlfn.LET(_xlpm.total,SUM(D974:G974),_xlpm.maxv,MAX(D974:G974),IF(_xlpm.total=0,"",IF(_xlpm.maxv/_xlpm.total&lt;0.5,"Mixed-Class",_xlfn.IFS(_xlpm.maxv=D974,"Assault",_xlpm.maxv=E974,"Engineer",_xlpm.maxv=F974,"Recon",_xlpm.maxv=G974,"Support"))))</f>
        <v/>
      </c>
      <c r="J974" t="str">
        <f t="shared" si="55"/>
        <v/>
      </c>
      <c r="K974" s="10" t="str">
        <f t="shared" si="56"/>
        <v/>
      </c>
    </row>
    <row r="975" spans="2:11" x14ac:dyDescent="0.25">
      <c r="B975">
        <v>9737</v>
      </c>
      <c r="H975">
        <f t="shared" si="54"/>
        <v>0</v>
      </c>
      <c r="I975" s="9" t="str" cm="1">
        <f t="array" ref="I975">_xlfn.LET(_xlpm.total,SUM(D975:G975),_xlpm.maxv,MAX(D975:G975),IF(_xlpm.total=0,"",IF(_xlpm.maxv/_xlpm.total&lt;0.5,"Mixed-Class",_xlfn.IFS(_xlpm.maxv=D975,"Assault",_xlpm.maxv=E975,"Engineer",_xlpm.maxv=F975,"Recon",_xlpm.maxv=G975,"Support"))))</f>
        <v/>
      </c>
      <c r="J975" t="str">
        <f t="shared" si="55"/>
        <v/>
      </c>
      <c r="K975" s="10" t="str">
        <f t="shared" si="56"/>
        <v/>
      </c>
    </row>
    <row r="976" spans="2:11" x14ac:dyDescent="0.25">
      <c r="B976">
        <v>9747</v>
      </c>
      <c r="H976">
        <f t="shared" si="54"/>
        <v>0</v>
      </c>
      <c r="I976" s="9" t="str" cm="1">
        <f t="array" ref="I976">_xlfn.LET(_xlpm.total,SUM(D976:G976),_xlpm.maxv,MAX(D976:G976),IF(_xlpm.total=0,"",IF(_xlpm.maxv/_xlpm.total&lt;0.5,"Mixed-Class",_xlfn.IFS(_xlpm.maxv=D976,"Assault",_xlpm.maxv=E976,"Engineer",_xlpm.maxv=F976,"Recon",_xlpm.maxv=G976,"Support"))))</f>
        <v/>
      </c>
      <c r="J976" t="str">
        <f t="shared" si="55"/>
        <v/>
      </c>
      <c r="K976" s="10" t="str">
        <f t="shared" si="56"/>
        <v/>
      </c>
    </row>
    <row r="977" spans="2:11" x14ac:dyDescent="0.25">
      <c r="B977">
        <v>9757</v>
      </c>
      <c r="H977">
        <f t="shared" si="54"/>
        <v>0</v>
      </c>
      <c r="I977" s="9" t="str" cm="1">
        <f t="array" ref="I977">_xlfn.LET(_xlpm.total,SUM(D977:G977),_xlpm.maxv,MAX(D977:G977),IF(_xlpm.total=0,"",IF(_xlpm.maxv/_xlpm.total&lt;0.5,"Mixed-Class",_xlfn.IFS(_xlpm.maxv=D977,"Assault",_xlpm.maxv=E977,"Engineer",_xlpm.maxv=F977,"Recon",_xlpm.maxv=G977,"Support"))))</f>
        <v/>
      </c>
      <c r="J977" t="str">
        <f t="shared" si="55"/>
        <v/>
      </c>
      <c r="K977" s="10" t="str">
        <f t="shared" si="56"/>
        <v/>
      </c>
    </row>
    <row r="978" spans="2:11" x14ac:dyDescent="0.25">
      <c r="B978">
        <v>9767</v>
      </c>
      <c r="H978">
        <f t="shared" si="54"/>
        <v>0</v>
      </c>
      <c r="I978" s="9" t="str" cm="1">
        <f t="array" ref="I978">_xlfn.LET(_xlpm.total,SUM(D978:G978),_xlpm.maxv,MAX(D978:G978),IF(_xlpm.total=0,"",IF(_xlpm.maxv/_xlpm.total&lt;0.5,"Mixed-Class",_xlfn.IFS(_xlpm.maxv=D978,"Assault",_xlpm.maxv=E978,"Engineer",_xlpm.maxv=F978,"Recon",_xlpm.maxv=G978,"Support"))))</f>
        <v/>
      </c>
      <c r="J978" t="str">
        <f t="shared" si="55"/>
        <v/>
      </c>
      <c r="K978" s="10" t="str">
        <f t="shared" si="56"/>
        <v/>
      </c>
    </row>
    <row r="979" spans="2:11" x14ac:dyDescent="0.25">
      <c r="B979">
        <v>9777</v>
      </c>
      <c r="H979">
        <f t="shared" si="54"/>
        <v>0</v>
      </c>
      <c r="I979" s="9" t="str" cm="1">
        <f t="array" ref="I979">_xlfn.LET(_xlpm.total,SUM(D979:G979),_xlpm.maxv,MAX(D979:G979),IF(_xlpm.total=0,"",IF(_xlpm.maxv/_xlpm.total&lt;0.5,"Mixed-Class",_xlfn.IFS(_xlpm.maxv=D979,"Assault",_xlpm.maxv=E979,"Engineer",_xlpm.maxv=F979,"Recon",_xlpm.maxv=G979,"Support"))))</f>
        <v/>
      </c>
      <c r="J979" t="str">
        <f t="shared" si="55"/>
        <v/>
      </c>
      <c r="K979" s="10" t="str">
        <f t="shared" si="56"/>
        <v/>
      </c>
    </row>
    <row r="980" spans="2:11" x14ac:dyDescent="0.25">
      <c r="B980">
        <v>9787</v>
      </c>
      <c r="H980">
        <f t="shared" si="54"/>
        <v>0</v>
      </c>
      <c r="I980" s="9" t="str" cm="1">
        <f t="array" ref="I980">_xlfn.LET(_xlpm.total,SUM(D980:G980),_xlpm.maxv,MAX(D980:G980),IF(_xlpm.total=0,"",IF(_xlpm.maxv/_xlpm.total&lt;0.5,"Mixed-Class",_xlfn.IFS(_xlpm.maxv=D980,"Assault",_xlpm.maxv=E980,"Engineer",_xlpm.maxv=F980,"Recon",_xlpm.maxv=G980,"Support"))))</f>
        <v/>
      </c>
      <c r="J980" t="str">
        <f t="shared" si="55"/>
        <v/>
      </c>
      <c r="K980" s="10" t="str">
        <f t="shared" si="56"/>
        <v/>
      </c>
    </row>
    <row r="981" spans="2:11" x14ac:dyDescent="0.25">
      <c r="B981">
        <v>9797</v>
      </c>
      <c r="H981">
        <f t="shared" si="54"/>
        <v>0</v>
      </c>
      <c r="I981" s="9" t="str" cm="1">
        <f t="array" ref="I981">_xlfn.LET(_xlpm.total,SUM(D981:G981),_xlpm.maxv,MAX(D981:G981),IF(_xlpm.total=0,"",IF(_xlpm.maxv/_xlpm.total&lt;0.5,"Mixed-Class",_xlfn.IFS(_xlpm.maxv=D981,"Assault",_xlpm.maxv=E981,"Engineer",_xlpm.maxv=F981,"Recon",_xlpm.maxv=G981,"Support"))))</f>
        <v/>
      </c>
      <c r="J981" t="str">
        <f t="shared" si="55"/>
        <v/>
      </c>
      <c r="K981" s="10" t="str">
        <f t="shared" si="56"/>
        <v/>
      </c>
    </row>
    <row r="982" spans="2:11" x14ac:dyDescent="0.25">
      <c r="B982">
        <v>9807</v>
      </c>
      <c r="H982">
        <f t="shared" si="54"/>
        <v>0</v>
      </c>
      <c r="I982" s="9" t="str" cm="1">
        <f t="array" ref="I982">_xlfn.LET(_xlpm.total,SUM(D982:G982),_xlpm.maxv,MAX(D982:G982),IF(_xlpm.total=0,"",IF(_xlpm.maxv/_xlpm.total&lt;0.5,"Mixed-Class",_xlfn.IFS(_xlpm.maxv=D982,"Assault",_xlpm.maxv=E982,"Engineer",_xlpm.maxv=F982,"Recon",_xlpm.maxv=G982,"Support"))))</f>
        <v/>
      </c>
      <c r="J982" t="str">
        <f t="shared" si="55"/>
        <v/>
      </c>
      <c r="K982" s="10" t="str">
        <f t="shared" si="56"/>
        <v/>
      </c>
    </row>
    <row r="983" spans="2:11" x14ac:dyDescent="0.25">
      <c r="B983">
        <v>9817</v>
      </c>
      <c r="H983">
        <f t="shared" si="54"/>
        <v>0</v>
      </c>
      <c r="I983" s="9" t="str" cm="1">
        <f t="array" ref="I983">_xlfn.LET(_xlpm.total,SUM(D983:G983),_xlpm.maxv,MAX(D983:G983),IF(_xlpm.total=0,"",IF(_xlpm.maxv/_xlpm.total&lt;0.5,"Mixed-Class",_xlfn.IFS(_xlpm.maxv=D983,"Assault",_xlpm.maxv=E983,"Engineer",_xlpm.maxv=F983,"Recon",_xlpm.maxv=G983,"Support"))))</f>
        <v/>
      </c>
      <c r="J983" t="str">
        <f t="shared" si="55"/>
        <v/>
      </c>
      <c r="K983" s="10" t="str">
        <f t="shared" si="56"/>
        <v/>
      </c>
    </row>
    <row r="984" spans="2:11" x14ac:dyDescent="0.25">
      <c r="B984">
        <v>9827</v>
      </c>
      <c r="H984">
        <f t="shared" si="54"/>
        <v>0</v>
      </c>
      <c r="I984" s="9" t="str" cm="1">
        <f t="array" ref="I984">_xlfn.LET(_xlpm.total,SUM(D984:G984),_xlpm.maxv,MAX(D984:G984),IF(_xlpm.total=0,"",IF(_xlpm.maxv/_xlpm.total&lt;0.5,"Mixed-Class",_xlfn.IFS(_xlpm.maxv=D984,"Assault",_xlpm.maxv=E984,"Engineer",_xlpm.maxv=F984,"Recon",_xlpm.maxv=G984,"Support"))))</f>
        <v/>
      </c>
      <c r="J984" t="str">
        <f t="shared" si="55"/>
        <v/>
      </c>
      <c r="K984" s="10" t="str">
        <f t="shared" si="56"/>
        <v/>
      </c>
    </row>
    <row r="985" spans="2:11" x14ac:dyDescent="0.25">
      <c r="B985">
        <v>9837</v>
      </c>
      <c r="H985">
        <f t="shared" si="54"/>
        <v>0</v>
      </c>
      <c r="I985" s="9" t="str" cm="1">
        <f t="array" ref="I985">_xlfn.LET(_xlpm.total,SUM(D985:G985),_xlpm.maxv,MAX(D985:G985),IF(_xlpm.total=0,"",IF(_xlpm.maxv/_xlpm.total&lt;0.5,"Mixed-Class",_xlfn.IFS(_xlpm.maxv=D985,"Assault",_xlpm.maxv=E985,"Engineer",_xlpm.maxv=F985,"Recon",_xlpm.maxv=G985,"Support"))))</f>
        <v/>
      </c>
      <c r="J985" t="str">
        <f t="shared" si="55"/>
        <v/>
      </c>
      <c r="K985" s="10" t="str">
        <f t="shared" si="56"/>
        <v/>
      </c>
    </row>
    <row r="986" spans="2:11" x14ac:dyDescent="0.25">
      <c r="B986">
        <v>9847</v>
      </c>
      <c r="H986">
        <f t="shared" si="54"/>
        <v>0</v>
      </c>
      <c r="I986" s="9" t="str" cm="1">
        <f t="array" ref="I986">_xlfn.LET(_xlpm.total,SUM(D986:G986),_xlpm.maxv,MAX(D986:G986),IF(_xlpm.total=0,"",IF(_xlpm.maxv/_xlpm.total&lt;0.5,"Mixed-Class",_xlfn.IFS(_xlpm.maxv=D986,"Assault",_xlpm.maxv=E986,"Engineer",_xlpm.maxv=F986,"Recon",_xlpm.maxv=G986,"Support"))))</f>
        <v/>
      </c>
      <c r="J986" t="str">
        <f t="shared" si="55"/>
        <v/>
      </c>
      <c r="K986" s="10" t="str">
        <f t="shared" si="56"/>
        <v/>
      </c>
    </row>
    <row r="987" spans="2:11" x14ac:dyDescent="0.25">
      <c r="B987">
        <v>9857</v>
      </c>
      <c r="H987">
        <f t="shared" si="54"/>
        <v>0</v>
      </c>
      <c r="I987" s="9" t="str" cm="1">
        <f t="array" ref="I987">_xlfn.LET(_xlpm.total,SUM(D987:G987),_xlpm.maxv,MAX(D987:G987),IF(_xlpm.total=0,"",IF(_xlpm.maxv/_xlpm.total&lt;0.5,"Mixed-Class",_xlfn.IFS(_xlpm.maxv=D987,"Assault",_xlpm.maxv=E987,"Engineer",_xlpm.maxv=F987,"Recon",_xlpm.maxv=G987,"Support"))))</f>
        <v/>
      </c>
      <c r="J987" t="str">
        <f t="shared" si="55"/>
        <v/>
      </c>
      <c r="K987" s="10" t="str">
        <f t="shared" si="56"/>
        <v/>
      </c>
    </row>
    <row r="988" spans="2:11" x14ac:dyDescent="0.25">
      <c r="B988">
        <v>9867</v>
      </c>
      <c r="H988">
        <f t="shared" si="54"/>
        <v>0</v>
      </c>
      <c r="I988" s="9" t="str" cm="1">
        <f t="array" ref="I988">_xlfn.LET(_xlpm.total,SUM(D988:G988),_xlpm.maxv,MAX(D988:G988),IF(_xlpm.total=0,"",IF(_xlpm.maxv/_xlpm.total&lt;0.5,"Mixed-Class",_xlfn.IFS(_xlpm.maxv=D988,"Assault",_xlpm.maxv=E988,"Engineer",_xlpm.maxv=F988,"Recon",_xlpm.maxv=G988,"Support"))))</f>
        <v/>
      </c>
      <c r="J988" t="str">
        <f t="shared" si="55"/>
        <v/>
      </c>
      <c r="K988" s="10" t="str">
        <f t="shared" si="56"/>
        <v/>
      </c>
    </row>
    <row r="989" spans="2:11" x14ac:dyDescent="0.25">
      <c r="B989">
        <v>9877</v>
      </c>
      <c r="H989">
        <f t="shared" si="54"/>
        <v>0</v>
      </c>
      <c r="I989" s="9" t="str" cm="1">
        <f t="array" ref="I989">_xlfn.LET(_xlpm.total,SUM(D989:G989),_xlpm.maxv,MAX(D989:G989),IF(_xlpm.total=0,"",IF(_xlpm.maxv/_xlpm.total&lt;0.5,"Mixed-Class",_xlfn.IFS(_xlpm.maxv=D989,"Assault",_xlpm.maxv=E989,"Engineer",_xlpm.maxv=F989,"Recon",_xlpm.maxv=G989,"Support"))))</f>
        <v/>
      </c>
      <c r="J989" t="str">
        <f t="shared" si="55"/>
        <v/>
      </c>
      <c r="K989" s="10" t="str">
        <f t="shared" si="56"/>
        <v/>
      </c>
    </row>
    <row r="990" spans="2:11" x14ac:dyDescent="0.25">
      <c r="B990">
        <v>9887</v>
      </c>
      <c r="H990">
        <f t="shared" si="54"/>
        <v>0</v>
      </c>
      <c r="I990" s="9" t="str" cm="1">
        <f t="array" ref="I990">_xlfn.LET(_xlpm.total,SUM(D990:G990),_xlpm.maxv,MAX(D990:G990),IF(_xlpm.total=0,"",IF(_xlpm.maxv/_xlpm.total&lt;0.5,"Mixed-Class",_xlfn.IFS(_xlpm.maxv=D990,"Assault",_xlpm.maxv=E990,"Engineer",_xlpm.maxv=F990,"Recon",_xlpm.maxv=G990,"Support"))))</f>
        <v/>
      </c>
      <c r="J990" t="str">
        <f t="shared" si="55"/>
        <v/>
      </c>
      <c r="K990" s="10" t="str">
        <f t="shared" si="56"/>
        <v/>
      </c>
    </row>
    <row r="991" spans="2:11" x14ac:dyDescent="0.25">
      <c r="B991">
        <v>9897</v>
      </c>
      <c r="H991">
        <f t="shared" si="54"/>
        <v>0</v>
      </c>
      <c r="I991" s="9" t="str" cm="1">
        <f t="array" ref="I991">_xlfn.LET(_xlpm.total,SUM(D991:G991),_xlpm.maxv,MAX(D991:G991),IF(_xlpm.total=0,"",IF(_xlpm.maxv/_xlpm.total&lt;0.5,"Mixed-Class",_xlfn.IFS(_xlpm.maxv=D991,"Assault",_xlpm.maxv=E991,"Engineer",_xlpm.maxv=F991,"Recon",_xlpm.maxv=G991,"Support"))))</f>
        <v/>
      </c>
      <c r="J991" t="str">
        <f t="shared" si="55"/>
        <v/>
      </c>
      <c r="K991" s="10" t="str">
        <f t="shared" si="56"/>
        <v/>
      </c>
    </row>
    <row r="992" spans="2:11" x14ac:dyDescent="0.25">
      <c r="B992">
        <v>9907</v>
      </c>
      <c r="H992">
        <f t="shared" si="54"/>
        <v>0</v>
      </c>
      <c r="I992" s="9" t="str" cm="1">
        <f t="array" ref="I992">_xlfn.LET(_xlpm.total,SUM(D992:G992),_xlpm.maxv,MAX(D992:G992),IF(_xlpm.total=0,"",IF(_xlpm.maxv/_xlpm.total&lt;0.5,"Mixed-Class",_xlfn.IFS(_xlpm.maxv=D992,"Assault",_xlpm.maxv=E992,"Engineer",_xlpm.maxv=F992,"Recon",_xlpm.maxv=G992,"Support"))))</f>
        <v/>
      </c>
      <c r="J992" t="str">
        <f t="shared" si="55"/>
        <v/>
      </c>
      <c r="K992" s="10" t="str">
        <f t="shared" si="56"/>
        <v/>
      </c>
    </row>
    <row r="993" spans="2:11" x14ac:dyDescent="0.25">
      <c r="B993">
        <v>9917</v>
      </c>
      <c r="H993">
        <f t="shared" si="54"/>
        <v>0</v>
      </c>
      <c r="I993" s="9" t="str" cm="1">
        <f t="array" ref="I993">_xlfn.LET(_xlpm.total,SUM(D993:G993),_xlpm.maxv,MAX(D993:G993),IF(_xlpm.total=0,"",IF(_xlpm.maxv/_xlpm.total&lt;0.5,"Mixed-Class",_xlfn.IFS(_xlpm.maxv=D993,"Assault",_xlpm.maxv=E993,"Engineer",_xlpm.maxv=F993,"Recon",_xlpm.maxv=G993,"Support"))))</f>
        <v/>
      </c>
      <c r="J993" t="str">
        <f t="shared" si="55"/>
        <v/>
      </c>
      <c r="K993" s="10" t="str">
        <f t="shared" si="56"/>
        <v/>
      </c>
    </row>
    <row r="994" spans="2:11" x14ac:dyDescent="0.25">
      <c r="B994">
        <v>9927</v>
      </c>
      <c r="H994">
        <f t="shared" si="54"/>
        <v>0</v>
      </c>
      <c r="I994" s="9" t="str" cm="1">
        <f t="array" ref="I994">_xlfn.LET(_xlpm.total,SUM(D994:G994),_xlpm.maxv,MAX(D994:G994),IF(_xlpm.total=0,"",IF(_xlpm.maxv/_xlpm.total&lt;0.5,"Mixed-Class",_xlfn.IFS(_xlpm.maxv=D994,"Assault",_xlpm.maxv=E994,"Engineer",_xlpm.maxv=F994,"Recon",_xlpm.maxv=G994,"Support"))))</f>
        <v/>
      </c>
      <c r="J994" t="str">
        <f t="shared" si="55"/>
        <v/>
      </c>
      <c r="K994" s="10" t="str">
        <f t="shared" si="56"/>
        <v/>
      </c>
    </row>
    <row r="995" spans="2:11" x14ac:dyDescent="0.25">
      <c r="B995">
        <v>9937</v>
      </c>
      <c r="H995">
        <f t="shared" si="54"/>
        <v>0</v>
      </c>
      <c r="I995" s="9" t="str" cm="1">
        <f t="array" ref="I995">_xlfn.LET(_xlpm.total,SUM(D995:G995),_xlpm.maxv,MAX(D995:G995),IF(_xlpm.total=0,"",IF(_xlpm.maxv/_xlpm.total&lt;0.5,"Mixed-Class",_xlfn.IFS(_xlpm.maxv=D995,"Assault",_xlpm.maxv=E995,"Engineer",_xlpm.maxv=F995,"Recon",_xlpm.maxv=G995,"Support"))))</f>
        <v/>
      </c>
      <c r="J995" t="str">
        <f t="shared" si="55"/>
        <v/>
      </c>
      <c r="K995" s="10" t="str">
        <f t="shared" si="56"/>
        <v/>
      </c>
    </row>
    <row r="996" spans="2:11" x14ac:dyDescent="0.25">
      <c r="B996">
        <v>9947</v>
      </c>
      <c r="H996">
        <f t="shared" si="54"/>
        <v>0</v>
      </c>
      <c r="I996" s="9" t="str" cm="1">
        <f t="array" ref="I996">_xlfn.LET(_xlpm.total,SUM(D996:G996),_xlpm.maxv,MAX(D996:G996),IF(_xlpm.total=0,"",IF(_xlpm.maxv/_xlpm.total&lt;0.5,"Mixed-Class",_xlfn.IFS(_xlpm.maxv=D996,"Assault",_xlpm.maxv=E996,"Engineer",_xlpm.maxv=F996,"Recon",_xlpm.maxv=G996,"Support"))))</f>
        <v/>
      </c>
      <c r="J996" t="str">
        <f t="shared" si="55"/>
        <v/>
      </c>
      <c r="K996" s="10" t="str">
        <f t="shared" si="56"/>
        <v/>
      </c>
    </row>
    <row r="997" spans="2:11" x14ac:dyDescent="0.25">
      <c r="B997">
        <v>9957</v>
      </c>
      <c r="H997">
        <f t="shared" si="54"/>
        <v>0</v>
      </c>
      <c r="I997" s="9" t="str" cm="1">
        <f t="array" ref="I997">_xlfn.LET(_xlpm.total,SUM(D997:G997),_xlpm.maxv,MAX(D997:G997),IF(_xlpm.total=0,"",IF(_xlpm.maxv/_xlpm.total&lt;0.5,"Mixed-Class",_xlfn.IFS(_xlpm.maxv=D997,"Assault",_xlpm.maxv=E997,"Engineer",_xlpm.maxv=F997,"Recon",_xlpm.maxv=G997,"Support"))))</f>
        <v/>
      </c>
      <c r="J997" t="str">
        <f t="shared" si="55"/>
        <v/>
      </c>
      <c r="K997" s="10" t="str">
        <f t="shared" si="56"/>
        <v/>
      </c>
    </row>
    <row r="998" spans="2:11" x14ac:dyDescent="0.25">
      <c r="B998">
        <v>9967</v>
      </c>
      <c r="H998">
        <f t="shared" si="54"/>
        <v>0</v>
      </c>
      <c r="I998" s="9" t="str" cm="1">
        <f t="array" ref="I998">_xlfn.LET(_xlpm.total,SUM(D998:G998),_xlpm.maxv,MAX(D998:G998),IF(_xlpm.total=0,"",IF(_xlpm.maxv/_xlpm.total&lt;0.5,"Mixed-Class",_xlfn.IFS(_xlpm.maxv=D998,"Assault",_xlpm.maxv=E998,"Engineer",_xlpm.maxv=F998,"Recon",_xlpm.maxv=G998,"Support"))))</f>
        <v/>
      </c>
      <c r="J998" t="str">
        <f t="shared" si="55"/>
        <v/>
      </c>
      <c r="K998" s="10" t="str">
        <f t="shared" si="56"/>
        <v/>
      </c>
    </row>
    <row r="999" spans="2:11" x14ac:dyDescent="0.25">
      <c r="B999">
        <v>9977</v>
      </c>
      <c r="H999">
        <f t="shared" si="54"/>
        <v>0</v>
      </c>
      <c r="I999" s="9" t="str" cm="1">
        <f t="array" ref="I999">_xlfn.LET(_xlpm.total,SUM(D999:G999),_xlpm.maxv,MAX(D999:G999),IF(_xlpm.total=0,"",IF(_xlpm.maxv/_xlpm.total&lt;0.5,"Mixed-Class",_xlfn.IFS(_xlpm.maxv=D999,"Assault",_xlpm.maxv=E999,"Engineer",_xlpm.maxv=F999,"Recon",_xlpm.maxv=G999,"Support"))))</f>
        <v/>
      </c>
      <c r="J999" t="str">
        <f t="shared" si="55"/>
        <v/>
      </c>
      <c r="K999" s="10" t="str">
        <f t="shared" si="56"/>
        <v/>
      </c>
    </row>
    <row r="1000" spans="2:11" x14ac:dyDescent="0.25">
      <c r="B1000">
        <v>9987</v>
      </c>
      <c r="H1000">
        <f t="shared" si="54"/>
        <v>0</v>
      </c>
      <c r="I1000" s="9" t="str" cm="1">
        <f t="array" ref="I1000">_xlfn.LET(_xlpm.total,SUM(D1000:G1000),_xlpm.maxv,MAX(D1000:G1000),IF(_xlpm.total=0,"",IF(_xlpm.maxv/_xlpm.total&lt;0.5,"Mixed-Class",_xlfn.IFS(_xlpm.maxv=D1000,"Assault",_xlpm.maxv=E1000,"Engineer",_xlpm.maxv=F1000,"Recon",_xlpm.maxv=G1000,"Support"))))</f>
        <v/>
      </c>
      <c r="J1000" t="str">
        <f t="shared" si="55"/>
        <v/>
      </c>
      <c r="K1000" s="10" t="str">
        <f t="shared" si="56"/>
        <v/>
      </c>
    </row>
    <row r="1001" spans="2:11" x14ac:dyDescent="0.25">
      <c r="B1001">
        <v>9997</v>
      </c>
      <c r="H1001">
        <f t="shared" si="54"/>
        <v>0</v>
      </c>
      <c r="I1001" s="9" t="str" cm="1">
        <f t="array" ref="I1001">_xlfn.LET(_xlpm.total,SUM(D1001:G1001),_xlpm.maxv,MAX(D1001:G1001),IF(_xlpm.total=0,"",IF(_xlpm.maxv/_xlpm.total&lt;0.5,"Mixed-Class",_xlfn.IFS(_xlpm.maxv=D1001,"Assault",_xlpm.maxv=E1001,"Engineer",_xlpm.maxv=F1001,"Recon",_xlpm.maxv=G1001,"Support"))))</f>
        <v/>
      </c>
      <c r="J1001" t="str">
        <f t="shared" si="55"/>
        <v/>
      </c>
      <c r="K1001" s="10" t="str">
        <f t="shared" si="56"/>
        <v/>
      </c>
    </row>
  </sheetData>
  <conditionalFormatting sqref="A1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2DA9-DC0E-4C97-BD90-39C90B7B330E}">
  <dimension ref="A1:U1001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17.28515625" bestFit="1" customWidth="1"/>
    <col min="2" max="2" width="17.85546875" customWidth="1"/>
    <col min="3" max="3" width="16.42578125" style="7" bestFit="1" customWidth="1"/>
    <col min="4" max="4" width="16.85546875" style="8" bestFit="1" customWidth="1"/>
    <col min="5" max="5" width="19.7109375" style="7" bestFit="1" customWidth="1"/>
    <col min="6" max="6" width="12" style="12" bestFit="1" customWidth="1"/>
    <col min="7" max="8" width="6.5703125" style="8" bestFit="1" customWidth="1"/>
    <col min="9" max="9" width="11.140625" style="8" bestFit="1" customWidth="1"/>
    <col min="10" max="10" width="9" style="8" bestFit="1" customWidth="1"/>
    <col min="11" max="11" width="11.7109375" style="8" bestFit="1" customWidth="1"/>
    <col min="12" max="12" width="6.5703125" style="8" bestFit="1" customWidth="1"/>
    <col min="13" max="13" width="9.42578125" style="8" bestFit="1" customWidth="1"/>
    <col min="14" max="14" width="9.7109375" style="7" bestFit="1" customWidth="1"/>
    <col min="15" max="15" width="8.7109375" style="12" bestFit="1" customWidth="1"/>
    <col min="16" max="16" width="18.5703125" style="7" bestFit="1" customWidth="1"/>
    <col min="17" max="17" width="17.28515625" style="8" bestFit="1" customWidth="1"/>
    <col min="18" max="19" width="18.85546875" style="8" bestFit="1" customWidth="1"/>
    <col min="20" max="20" width="18.85546875" style="8" customWidth="1"/>
    <col min="21" max="21" width="14.42578125" bestFit="1" customWidth="1"/>
  </cols>
  <sheetData>
    <row r="1" spans="1:21" s="1" customFormat="1" ht="15.75" thickBot="1" x14ac:dyDescent="0.3">
      <c r="A1" s="1" t="s">
        <v>0</v>
      </c>
      <c r="B1" s="1" t="s">
        <v>1</v>
      </c>
      <c r="C1" s="2" t="s">
        <v>28</v>
      </c>
      <c r="D1" s="3" t="s">
        <v>29</v>
      </c>
      <c r="E1" s="2" t="s">
        <v>30</v>
      </c>
      <c r="F1" s="28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2" t="s">
        <v>39</v>
      </c>
      <c r="O1" s="28" t="s">
        <v>40</v>
      </c>
      <c r="P1" s="2" t="s">
        <v>3</v>
      </c>
      <c r="Q1" s="3" t="s">
        <v>4</v>
      </c>
      <c r="R1" s="3" t="s">
        <v>5</v>
      </c>
      <c r="S1" s="3" t="s">
        <v>6</v>
      </c>
      <c r="T1" s="3" t="s">
        <v>60</v>
      </c>
      <c r="U1" s="1" t="s">
        <v>7</v>
      </c>
    </row>
    <row r="2" spans="1:21" x14ac:dyDescent="0.25">
      <c r="A2" t="str">
        <f>Player_Class_Profile!A2</f>
        <v>Stann83cz</v>
      </c>
      <c r="B2" cm="1">
        <f t="array" ref="B2:B1001">_xlfn.SEQUENCE(1000,1,7,10)</f>
        <v>7</v>
      </c>
      <c r="C2" s="7">
        <v>205</v>
      </c>
      <c r="D2" s="8">
        <v>19</v>
      </c>
      <c r="E2" s="7">
        <v>101</v>
      </c>
      <c r="F2" s="12">
        <v>4.5</v>
      </c>
      <c r="G2" s="8">
        <v>8</v>
      </c>
      <c r="H2" s="8">
        <v>19</v>
      </c>
      <c r="I2" s="8">
        <v>0.5</v>
      </c>
      <c r="J2" s="8">
        <v>1</v>
      </c>
      <c r="K2" s="8">
        <v>52</v>
      </c>
      <c r="L2" s="8">
        <v>228</v>
      </c>
      <c r="M2" s="8">
        <v>17</v>
      </c>
      <c r="N2" s="7">
        <v>8</v>
      </c>
      <c r="O2" s="12">
        <v>3</v>
      </c>
      <c r="P2" s="7">
        <f>SUM(Player_Mode_Profile!C2:D2)</f>
        <v>224</v>
      </c>
      <c r="Q2" s="8">
        <f>SUM(Player_Mode_Profile!E2:F2)</f>
        <v>105.5</v>
      </c>
      <c r="R2" s="8">
        <f>SUM(Player_Mode_Profile!G2:M2)</f>
        <v>325.5</v>
      </c>
      <c r="S2" s="8">
        <f>SUM(Player_Mode_Profile!N2:O2)</f>
        <v>11</v>
      </c>
      <c r="T2" s="8">
        <f>SUM(P2:S2)</f>
        <v>666</v>
      </c>
      <c r="U2" t="str">
        <f t="shared" ref="U2:U12" si="0">IF(SUM(P2:S2)=0,"",IF(S2/SUM(P2:S2)&gt;=0.5,"Battle Royale",IF(R2/SUM(P2:R2)&gt;=0.6,"Infantry-Heavy",IF((P2+0.7*Q2)/SUM(P2:R2)&gt;=0.65,"Vehicle-Heavy","Mixed"))))</f>
        <v>Mixed</v>
      </c>
    </row>
    <row r="3" spans="1:21" x14ac:dyDescent="0.25">
      <c r="A3" t="str">
        <f>Player_Class_Profile!A3</f>
        <v>Sir Jekyll</v>
      </c>
      <c r="B3">
        <v>17</v>
      </c>
      <c r="C3" s="7">
        <v>343</v>
      </c>
      <c r="D3" s="8">
        <v>6</v>
      </c>
      <c r="E3" s="7">
        <v>103</v>
      </c>
      <c r="F3" s="12">
        <v>3.5</v>
      </c>
      <c r="G3" s="8">
        <v>4.5</v>
      </c>
      <c r="H3" s="8">
        <v>85</v>
      </c>
      <c r="I3" s="8">
        <v>0</v>
      </c>
      <c r="J3" s="8">
        <v>8</v>
      </c>
      <c r="K3" s="8">
        <v>2</v>
      </c>
      <c r="L3" s="8">
        <v>1</v>
      </c>
      <c r="M3" s="8">
        <v>1</v>
      </c>
      <c r="N3" s="7">
        <v>16</v>
      </c>
      <c r="O3" s="12">
        <v>108</v>
      </c>
      <c r="P3" s="7">
        <f>SUM(Player_Mode_Profile!C3:D3)</f>
        <v>349</v>
      </c>
      <c r="Q3" s="8">
        <f>SUM(Player_Mode_Profile!E3:F3)</f>
        <v>106.5</v>
      </c>
      <c r="R3" s="8">
        <f>SUM(Player_Mode_Profile!G3:M3)</f>
        <v>101.5</v>
      </c>
      <c r="S3" s="8">
        <f>SUM(Player_Mode_Profile!N3:O3)</f>
        <v>124</v>
      </c>
      <c r="T3" s="8">
        <f t="shared" ref="T3:T23" si="1">SUM(P3:S3)</f>
        <v>681</v>
      </c>
      <c r="U3" t="str">
        <f t="shared" si="0"/>
        <v>Vehicle-Heavy</v>
      </c>
    </row>
    <row r="4" spans="1:21" x14ac:dyDescent="0.25">
      <c r="A4" t="str">
        <f>Player_Class_Profile!A4</f>
        <v>elkikisk</v>
      </c>
      <c r="B4">
        <v>27</v>
      </c>
      <c r="C4" s="7">
        <v>201</v>
      </c>
      <c r="D4" s="8">
        <v>600</v>
      </c>
      <c r="E4" s="7">
        <v>33</v>
      </c>
      <c r="F4" s="12">
        <v>89</v>
      </c>
      <c r="G4" s="8">
        <v>0.75</v>
      </c>
      <c r="H4" s="8">
        <v>4</v>
      </c>
      <c r="I4" s="8">
        <v>0.25</v>
      </c>
      <c r="J4" s="8">
        <v>3</v>
      </c>
      <c r="K4" s="8">
        <v>4</v>
      </c>
      <c r="L4" s="8">
        <v>1</v>
      </c>
      <c r="M4" s="8">
        <v>1</v>
      </c>
      <c r="N4" s="7">
        <v>0.25</v>
      </c>
      <c r="O4" s="12">
        <v>0.1</v>
      </c>
      <c r="P4" s="7">
        <f>SUM(Player_Mode_Profile!C4:D4)</f>
        <v>801</v>
      </c>
      <c r="Q4" s="8">
        <f>SUM(Player_Mode_Profile!E4:F4)</f>
        <v>122</v>
      </c>
      <c r="R4" s="8">
        <f>SUM(Player_Mode_Profile!G4:M4)</f>
        <v>14</v>
      </c>
      <c r="S4" s="8">
        <f>SUM(Player_Mode_Profile!N4:O4)</f>
        <v>0.35</v>
      </c>
      <c r="T4" s="8">
        <f t="shared" si="1"/>
        <v>937.35</v>
      </c>
      <c r="U4" t="str">
        <f t="shared" si="0"/>
        <v>Vehicle-Heavy</v>
      </c>
    </row>
    <row r="5" spans="1:21" x14ac:dyDescent="0.25">
      <c r="A5" t="str">
        <f>Player_Class_Profile!A5</f>
        <v>HSBxEWIKKED</v>
      </c>
      <c r="B5">
        <v>37</v>
      </c>
      <c r="C5" s="7">
        <v>91</v>
      </c>
      <c r="D5" s="8">
        <v>9.25</v>
      </c>
      <c r="E5" s="7">
        <v>84</v>
      </c>
      <c r="F5" s="12">
        <v>9</v>
      </c>
      <c r="G5" s="8">
        <v>245</v>
      </c>
      <c r="H5" s="8">
        <v>105</v>
      </c>
      <c r="I5" s="8">
        <v>49</v>
      </c>
      <c r="J5" s="8">
        <v>7</v>
      </c>
      <c r="K5" s="8">
        <v>50</v>
      </c>
      <c r="L5" s="8">
        <v>95</v>
      </c>
      <c r="M5" s="8">
        <v>50</v>
      </c>
      <c r="N5" s="7">
        <v>27</v>
      </c>
      <c r="O5" s="12">
        <v>88</v>
      </c>
      <c r="P5" s="7">
        <f>SUM(Player_Mode_Profile!C5:D5)</f>
        <v>100.25</v>
      </c>
      <c r="Q5" s="8">
        <f>SUM(Player_Mode_Profile!E5:F5)</f>
        <v>93</v>
      </c>
      <c r="R5" s="8">
        <f>SUM(Player_Mode_Profile!G5:M5)</f>
        <v>601</v>
      </c>
      <c r="S5" s="8">
        <f>SUM(Player_Mode_Profile!N5:O5)</f>
        <v>115</v>
      </c>
      <c r="T5" s="8">
        <f t="shared" si="1"/>
        <v>909.25</v>
      </c>
      <c r="U5" t="str">
        <f t="shared" si="0"/>
        <v>Infantry-Heavy</v>
      </c>
    </row>
    <row r="6" spans="1:21" x14ac:dyDescent="0.25">
      <c r="A6" t="str">
        <f>Player_Class_Profile!A6</f>
        <v>TheBishopDeath</v>
      </c>
      <c r="B6">
        <v>47</v>
      </c>
      <c r="C6" s="7">
        <v>544</v>
      </c>
      <c r="D6" s="8">
        <v>5.5</v>
      </c>
      <c r="E6" s="7">
        <v>83</v>
      </c>
      <c r="F6" s="12">
        <v>0.75</v>
      </c>
      <c r="G6" s="8">
        <v>13</v>
      </c>
      <c r="H6" s="8">
        <v>9</v>
      </c>
      <c r="I6" s="8">
        <v>4.5</v>
      </c>
      <c r="J6" s="8">
        <v>3</v>
      </c>
      <c r="K6" s="8">
        <v>4.75</v>
      </c>
      <c r="L6" s="8">
        <v>6.5</v>
      </c>
      <c r="M6" s="8">
        <v>1.25</v>
      </c>
      <c r="N6" s="7">
        <v>3</v>
      </c>
      <c r="O6" s="12">
        <v>0.75</v>
      </c>
      <c r="P6" s="7">
        <f>SUM(Player_Mode_Profile!C6:D6)</f>
        <v>549.5</v>
      </c>
      <c r="Q6" s="8">
        <f>SUM(Player_Mode_Profile!E6:F6)</f>
        <v>83.75</v>
      </c>
      <c r="R6" s="8">
        <f>SUM(Player_Mode_Profile!G6:M6)</f>
        <v>42</v>
      </c>
      <c r="S6" s="8">
        <f>SUM(Player_Mode_Profile!N6:O6)</f>
        <v>3.75</v>
      </c>
      <c r="T6" s="8">
        <f t="shared" si="1"/>
        <v>679</v>
      </c>
      <c r="U6" t="str">
        <f t="shared" si="0"/>
        <v>Vehicle-Heavy</v>
      </c>
    </row>
    <row r="7" spans="1:21" x14ac:dyDescent="0.25">
      <c r="A7" t="str">
        <f>Player_Class_Profile!A7</f>
        <v>AncientWizardGuy</v>
      </c>
      <c r="B7">
        <v>57</v>
      </c>
      <c r="C7" s="7">
        <v>234</v>
      </c>
      <c r="D7" s="8">
        <v>242</v>
      </c>
      <c r="E7" s="7">
        <v>237</v>
      </c>
      <c r="F7" s="12">
        <v>13</v>
      </c>
      <c r="G7" s="8">
        <v>0</v>
      </c>
      <c r="H7" s="8">
        <v>0</v>
      </c>
      <c r="I7" s="8">
        <v>0</v>
      </c>
      <c r="J7" s="8">
        <v>0</v>
      </c>
      <c r="K7" s="8">
        <v>1.25</v>
      </c>
      <c r="L7" s="8">
        <v>0.75</v>
      </c>
      <c r="M7" s="8">
        <v>0</v>
      </c>
      <c r="N7" s="7">
        <v>0</v>
      </c>
      <c r="O7" s="12">
        <v>0</v>
      </c>
      <c r="P7" s="7">
        <f>SUM(Player_Mode_Profile!C7:D7)</f>
        <v>476</v>
      </c>
      <c r="Q7" s="8">
        <f>SUM(Player_Mode_Profile!E7:F7)</f>
        <v>250</v>
      </c>
      <c r="R7" s="8">
        <f>SUM(Player_Mode_Profile!G7:M7)</f>
        <v>2</v>
      </c>
      <c r="S7" s="8">
        <f>SUM(Player_Mode_Profile!N7:O7)</f>
        <v>0</v>
      </c>
      <c r="T7" s="8">
        <f t="shared" si="1"/>
        <v>728</v>
      </c>
      <c r="U7" t="str">
        <f t="shared" si="0"/>
        <v>Vehicle-Heavy</v>
      </c>
    </row>
    <row r="8" spans="1:21" x14ac:dyDescent="0.25">
      <c r="A8" t="str">
        <f>Player_Class_Profile!A8</f>
        <v>M5_eaglez</v>
      </c>
      <c r="B8">
        <v>67</v>
      </c>
      <c r="C8" s="7">
        <v>177</v>
      </c>
      <c r="D8" s="8">
        <v>37</v>
      </c>
      <c r="E8" s="7">
        <v>453</v>
      </c>
      <c r="F8" s="12">
        <v>0.5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0.25</v>
      </c>
      <c r="M8" s="8">
        <v>0</v>
      </c>
      <c r="N8" s="7">
        <v>0</v>
      </c>
      <c r="O8" s="12">
        <v>0</v>
      </c>
      <c r="P8" s="7">
        <f>SUM(Player_Mode_Profile!C8:D8)</f>
        <v>214</v>
      </c>
      <c r="Q8" s="8">
        <f>SUM(Player_Mode_Profile!E8:F8)</f>
        <v>453.5</v>
      </c>
      <c r="R8" s="8">
        <f>SUM(Player_Mode_Profile!G8:M8)</f>
        <v>0.25</v>
      </c>
      <c r="S8" s="8">
        <f>SUM(Player_Mode_Profile!N8:O8)</f>
        <v>0</v>
      </c>
      <c r="T8" s="8">
        <f t="shared" si="1"/>
        <v>667.75</v>
      </c>
      <c r="U8" t="str">
        <f t="shared" si="0"/>
        <v>Vehicle-Heavy</v>
      </c>
    </row>
    <row r="9" spans="1:21" x14ac:dyDescent="0.25">
      <c r="A9" t="str">
        <f>Player_Class_Profile!A9</f>
        <v>Ragefast2311</v>
      </c>
      <c r="B9">
        <v>77</v>
      </c>
      <c r="C9" s="7">
        <v>29</v>
      </c>
      <c r="D9" s="8">
        <v>14</v>
      </c>
      <c r="E9" s="7">
        <v>45</v>
      </c>
      <c r="F9" s="12">
        <v>4.5</v>
      </c>
      <c r="G9" s="8">
        <v>139</v>
      </c>
      <c r="H9" s="8">
        <v>52</v>
      </c>
      <c r="I9" s="8">
        <v>4</v>
      </c>
      <c r="J9" s="8">
        <v>27</v>
      </c>
      <c r="K9" s="8">
        <v>135</v>
      </c>
      <c r="L9" s="8">
        <v>4.25</v>
      </c>
      <c r="M9" s="8">
        <v>2.5</v>
      </c>
      <c r="N9" s="7">
        <v>4.25</v>
      </c>
      <c r="O9" s="12">
        <v>11</v>
      </c>
      <c r="P9" s="7">
        <f>SUM(Player_Mode_Profile!C9:D9)</f>
        <v>43</v>
      </c>
      <c r="Q9" s="8">
        <f>SUM(Player_Mode_Profile!E9:F9)</f>
        <v>49.5</v>
      </c>
      <c r="R9" s="8">
        <f>SUM(Player_Mode_Profile!G9:M9)</f>
        <v>363.75</v>
      </c>
      <c r="S9" s="8">
        <f>SUM(Player_Mode_Profile!N9:O9)</f>
        <v>15.25</v>
      </c>
      <c r="T9" s="8">
        <f t="shared" si="1"/>
        <v>471.5</v>
      </c>
      <c r="U9" t="str">
        <f t="shared" si="0"/>
        <v>Infantry-Heavy</v>
      </c>
    </row>
    <row r="10" spans="1:21" x14ac:dyDescent="0.25">
      <c r="A10" t="str">
        <f>Player_Class_Profile!A10</f>
        <v>xCPC464x</v>
      </c>
      <c r="B10">
        <v>87</v>
      </c>
      <c r="C10" s="7">
        <v>315</v>
      </c>
      <c r="D10" s="8">
        <v>157</v>
      </c>
      <c r="E10" s="7">
        <v>135</v>
      </c>
      <c r="F10" s="12">
        <v>36</v>
      </c>
      <c r="G10" s="8">
        <v>8.25</v>
      </c>
      <c r="H10" s="8">
        <v>5.75</v>
      </c>
      <c r="I10" s="8">
        <v>6.25</v>
      </c>
      <c r="J10" s="8">
        <v>167</v>
      </c>
      <c r="K10" s="8">
        <v>9</v>
      </c>
      <c r="L10" s="8">
        <v>9.25</v>
      </c>
      <c r="M10" s="8">
        <v>11.5</v>
      </c>
      <c r="N10" s="7">
        <v>61</v>
      </c>
      <c r="O10" s="12">
        <v>67</v>
      </c>
      <c r="P10" s="7">
        <f>SUM(Player_Mode_Profile!C10:D10)</f>
        <v>472</v>
      </c>
      <c r="Q10" s="8">
        <f>SUM(Player_Mode_Profile!E10:F10)</f>
        <v>171</v>
      </c>
      <c r="R10" s="8">
        <f>SUM(Player_Mode_Profile!G10:M10)</f>
        <v>217</v>
      </c>
      <c r="S10" s="8">
        <f>SUM(Player_Mode_Profile!N10:O10)</f>
        <v>128</v>
      </c>
      <c r="T10" s="8">
        <f t="shared" si="1"/>
        <v>988</v>
      </c>
      <c r="U10" t="str">
        <f t="shared" si="0"/>
        <v>Vehicle-Heavy</v>
      </c>
    </row>
    <row r="11" spans="1:21" x14ac:dyDescent="0.25">
      <c r="A11" t="str">
        <f>Player_Class_Profile!A11</f>
        <v>Benzo_</v>
      </c>
      <c r="B11">
        <v>97</v>
      </c>
      <c r="C11" s="7">
        <v>45</v>
      </c>
      <c r="D11" s="8">
        <v>33</v>
      </c>
      <c r="E11" s="7">
        <v>634</v>
      </c>
      <c r="F11" s="12">
        <v>1.25</v>
      </c>
      <c r="G11" s="8">
        <v>1.75</v>
      </c>
      <c r="H11" s="8">
        <v>0</v>
      </c>
      <c r="I11" s="8">
        <v>0</v>
      </c>
      <c r="J11" s="8">
        <v>5</v>
      </c>
      <c r="K11" s="8">
        <v>3</v>
      </c>
      <c r="L11" s="8">
        <v>1.75</v>
      </c>
      <c r="M11" s="8">
        <v>0</v>
      </c>
      <c r="N11" s="7">
        <v>8.25</v>
      </c>
      <c r="O11" s="12">
        <v>12</v>
      </c>
      <c r="P11" s="7">
        <f>SUM(Player_Mode_Profile!C11:D11)</f>
        <v>78</v>
      </c>
      <c r="Q11" s="8">
        <f>SUM(Player_Mode_Profile!E11:F11)</f>
        <v>635.25</v>
      </c>
      <c r="R11" s="8">
        <f>SUM(Player_Mode_Profile!G11:M11)</f>
        <v>11.5</v>
      </c>
      <c r="S11" s="8">
        <f>SUM(Player_Mode_Profile!N11:O11)</f>
        <v>20.25</v>
      </c>
      <c r="T11" s="8">
        <f t="shared" si="1"/>
        <v>745</v>
      </c>
      <c r="U11" t="str">
        <f t="shared" si="0"/>
        <v>Vehicle-Heavy</v>
      </c>
    </row>
    <row r="12" spans="1:21" x14ac:dyDescent="0.25">
      <c r="A12" t="str">
        <f>Player_Class_Profile!A12</f>
        <v>rgayregger</v>
      </c>
      <c r="B12">
        <v>107</v>
      </c>
      <c r="C12" s="7">
        <v>80</v>
      </c>
      <c r="D12" s="8">
        <v>42</v>
      </c>
      <c r="E12" s="7">
        <v>138</v>
      </c>
      <c r="F12" s="12">
        <v>25</v>
      </c>
      <c r="G12" s="8">
        <v>4</v>
      </c>
      <c r="H12" s="8">
        <v>2</v>
      </c>
      <c r="I12" s="8">
        <v>2.5</v>
      </c>
      <c r="J12" s="8">
        <v>0</v>
      </c>
      <c r="K12" s="8">
        <v>55</v>
      </c>
      <c r="L12" s="8">
        <v>54</v>
      </c>
      <c r="M12" s="8">
        <v>6</v>
      </c>
      <c r="N12" s="7">
        <v>0.75</v>
      </c>
      <c r="O12" s="12">
        <v>0.25</v>
      </c>
      <c r="P12" s="7">
        <f>SUM(Player_Mode_Profile!C12:D12)</f>
        <v>122</v>
      </c>
      <c r="Q12" s="8">
        <f>SUM(Player_Mode_Profile!E12:F12)</f>
        <v>163</v>
      </c>
      <c r="R12" s="8">
        <f>SUM(Player_Mode_Profile!G12:M12)</f>
        <v>123.5</v>
      </c>
      <c r="S12" s="8">
        <f>SUM(Player_Mode_Profile!N12:O12)</f>
        <v>1</v>
      </c>
      <c r="T12" s="8">
        <f t="shared" si="1"/>
        <v>409.5</v>
      </c>
      <c r="U12" t="str">
        <f t="shared" si="0"/>
        <v>Mixed</v>
      </c>
    </row>
    <row r="13" spans="1:21" x14ac:dyDescent="0.25">
      <c r="A13" t="str">
        <f>Player_Class_Profile!A13</f>
        <v>dark_ken2284</v>
      </c>
      <c r="B13">
        <v>117</v>
      </c>
      <c r="C13" s="7">
        <v>7</v>
      </c>
      <c r="D13" s="8">
        <v>0</v>
      </c>
      <c r="E13" s="7">
        <v>102</v>
      </c>
      <c r="F13" s="12">
        <v>1</v>
      </c>
      <c r="G13" s="8">
        <v>6.75</v>
      </c>
      <c r="H13" s="8">
        <v>1.75</v>
      </c>
      <c r="I13" s="8">
        <v>0</v>
      </c>
      <c r="J13" s="8">
        <v>0.25</v>
      </c>
      <c r="K13" s="8">
        <v>149</v>
      </c>
      <c r="L13" s="8">
        <v>150</v>
      </c>
      <c r="M13" s="8">
        <v>2.75</v>
      </c>
      <c r="N13" s="7">
        <v>2.75</v>
      </c>
      <c r="O13" s="12">
        <v>85</v>
      </c>
      <c r="P13" s="7">
        <f>SUM(Player_Mode_Profile!C13:D13)</f>
        <v>7</v>
      </c>
      <c r="Q13" s="8">
        <f>SUM(Player_Mode_Profile!E13:F13)</f>
        <v>103</v>
      </c>
      <c r="R13" s="8">
        <f>SUM(Player_Mode_Profile!G13:M13)</f>
        <v>310.5</v>
      </c>
      <c r="S13" s="8">
        <f>SUM(Player_Mode_Profile!N13:O13)</f>
        <v>87.75</v>
      </c>
      <c r="T13" s="8">
        <f t="shared" si="1"/>
        <v>508.25</v>
      </c>
      <c r="U13" t="str">
        <f t="shared" ref="U13:U23" si="2">IF(SUM(P13:S13)=0,"",IF(S13/SUM(P13:S13)&gt;=0.5,"Battle Royale",IF(R13/SUM(P13:R13)&gt;=0.6,"Infantry-Heavy",IF((P13+0.7*Q13)/SUM(P13:R13)&gt;=0.7,"Vehicle-Heavy","Mixed"))))</f>
        <v>Infantry-Heavy</v>
      </c>
    </row>
    <row r="14" spans="1:21" x14ac:dyDescent="0.25">
      <c r="A14" t="str">
        <f>Player_Class_Profile!A14</f>
        <v>Mosthated220</v>
      </c>
      <c r="B14">
        <v>127</v>
      </c>
      <c r="C14" s="7">
        <v>0.25</v>
      </c>
      <c r="D14" s="8">
        <v>0.5</v>
      </c>
      <c r="E14" s="7">
        <v>3</v>
      </c>
      <c r="F14" s="12">
        <v>0</v>
      </c>
      <c r="G14" s="8">
        <v>352</v>
      </c>
      <c r="H14" s="8">
        <v>9.5</v>
      </c>
      <c r="I14" s="8">
        <v>3.5</v>
      </c>
      <c r="J14" s="8">
        <v>3</v>
      </c>
      <c r="K14" s="8">
        <v>1</v>
      </c>
      <c r="L14" s="8">
        <v>0</v>
      </c>
      <c r="M14" s="8">
        <v>0.5</v>
      </c>
      <c r="N14" s="7">
        <v>1</v>
      </c>
      <c r="O14" s="12">
        <v>1.25</v>
      </c>
      <c r="P14" s="7">
        <f>SUM(Player_Mode_Profile!C14:D14)</f>
        <v>0.75</v>
      </c>
      <c r="Q14" s="8">
        <f>SUM(Player_Mode_Profile!E14:F14)</f>
        <v>3</v>
      </c>
      <c r="R14" s="8">
        <f>SUM(Player_Mode_Profile!G14:M14)</f>
        <v>369.5</v>
      </c>
      <c r="S14" s="8">
        <f>SUM(Player_Mode_Profile!N14:O14)</f>
        <v>2.25</v>
      </c>
      <c r="T14" s="8">
        <f t="shared" si="1"/>
        <v>375.5</v>
      </c>
      <c r="U14" t="str">
        <f t="shared" si="2"/>
        <v>Infantry-Heavy</v>
      </c>
    </row>
    <row r="15" spans="1:21" x14ac:dyDescent="0.25">
      <c r="A15" t="str">
        <f>Player_Class_Profile!A15</f>
        <v>Bilbo-Fragginz88</v>
      </c>
      <c r="B15">
        <v>137</v>
      </c>
      <c r="C15" s="7">
        <v>10.5</v>
      </c>
      <c r="D15" s="8">
        <v>0.5</v>
      </c>
      <c r="E15" s="7">
        <v>9</v>
      </c>
      <c r="F15" s="12">
        <v>0.5</v>
      </c>
      <c r="G15" s="8">
        <v>141</v>
      </c>
      <c r="H15" s="8">
        <v>66</v>
      </c>
      <c r="I15" s="8">
        <v>0</v>
      </c>
      <c r="J15" s="8">
        <v>5.5</v>
      </c>
      <c r="K15" s="8">
        <v>53</v>
      </c>
      <c r="L15" s="8">
        <v>60</v>
      </c>
      <c r="M15" s="8">
        <v>1</v>
      </c>
      <c r="N15" s="7">
        <v>0</v>
      </c>
      <c r="O15" s="12">
        <v>0</v>
      </c>
      <c r="P15" s="7">
        <f>SUM(Player_Mode_Profile!C15:D15)</f>
        <v>11</v>
      </c>
      <c r="Q15" s="8">
        <f>SUM(Player_Mode_Profile!E15:F15)</f>
        <v>9.5</v>
      </c>
      <c r="R15" s="8">
        <f>SUM(Player_Mode_Profile!G15:M15)</f>
        <v>326.5</v>
      </c>
      <c r="S15" s="8">
        <f>SUM(Player_Mode_Profile!N15:O15)</f>
        <v>0</v>
      </c>
      <c r="T15" s="8">
        <f t="shared" si="1"/>
        <v>347</v>
      </c>
      <c r="U15" t="str">
        <f t="shared" si="2"/>
        <v>Infantry-Heavy</v>
      </c>
    </row>
    <row r="16" spans="1:21" x14ac:dyDescent="0.25">
      <c r="A16" t="str">
        <f>Player_Class_Profile!A16</f>
        <v>xensis</v>
      </c>
      <c r="B16">
        <v>147</v>
      </c>
      <c r="C16" s="7">
        <v>771</v>
      </c>
      <c r="D16" s="8">
        <v>90</v>
      </c>
      <c r="E16" s="7">
        <v>30</v>
      </c>
      <c r="F16" s="12">
        <v>4</v>
      </c>
      <c r="G16" s="8">
        <v>1.25</v>
      </c>
      <c r="H16" s="8">
        <v>0.5</v>
      </c>
      <c r="I16" s="8">
        <v>0.5</v>
      </c>
      <c r="J16" s="8">
        <v>2.5</v>
      </c>
      <c r="K16" s="8">
        <v>3</v>
      </c>
      <c r="L16" s="8">
        <v>1.25</v>
      </c>
      <c r="M16" s="8">
        <v>1</v>
      </c>
      <c r="N16" s="7">
        <v>1.25</v>
      </c>
      <c r="O16" s="12">
        <v>0</v>
      </c>
      <c r="P16" s="7">
        <f>SUM(Player_Mode_Profile!C16:D16)</f>
        <v>861</v>
      </c>
      <c r="Q16" s="8">
        <f>SUM(Player_Mode_Profile!E16:F16)</f>
        <v>34</v>
      </c>
      <c r="R16" s="8">
        <f>SUM(Player_Mode_Profile!G16:M16)</f>
        <v>10</v>
      </c>
      <c r="S16" s="8">
        <f>SUM(Player_Mode_Profile!N16:O16)</f>
        <v>1.25</v>
      </c>
      <c r="T16" s="8">
        <f t="shared" si="1"/>
        <v>906.25</v>
      </c>
      <c r="U16" t="str">
        <f t="shared" si="2"/>
        <v>Vehicle-Heavy</v>
      </c>
    </row>
    <row r="17" spans="1:21" x14ac:dyDescent="0.25">
      <c r="A17" t="str">
        <f>Player_Class_Profile!A17</f>
        <v>Hogwarts</v>
      </c>
      <c r="B17">
        <v>157</v>
      </c>
      <c r="C17" s="7">
        <v>204</v>
      </c>
      <c r="D17" s="8">
        <v>202</v>
      </c>
      <c r="E17" s="7">
        <v>49</v>
      </c>
      <c r="F17" s="12">
        <v>14</v>
      </c>
      <c r="G17" s="8">
        <v>2.75</v>
      </c>
      <c r="H17" s="8">
        <v>3</v>
      </c>
      <c r="I17" s="8">
        <v>0.5</v>
      </c>
      <c r="J17" s="8">
        <v>24</v>
      </c>
      <c r="K17" s="8">
        <v>3.25</v>
      </c>
      <c r="L17" s="8">
        <v>3.25</v>
      </c>
      <c r="M17" s="8">
        <v>9</v>
      </c>
      <c r="N17" s="7">
        <v>5</v>
      </c>
      <c r="O17" s="12">
        <v>16</v>
      </c>
      <c r="P17" s="7">
        <f>SUM(Player_Mode_Profile!C17:D17)</f>
        <v>406</v>
      </c>
      <c r="Q17" s="8">
        <f>SUM(Player_Mode_Profile!E17:F17)</f>
        <v>63</v>
      </c>
      <c r="R17" s="8">
        <f>SUM(Player_Mode_Profile!G17:M17)</f>
        <v>45.75</v>
      </c>
      <c r="S17" s="8">
        <f>SUM(Player_Mode_Profile!N17:O17)</f>
        <v>21</v>
      </c>
      <c r="T17" s="8">
        <f t="shared" si="1"/>
        <v>535.75</v>
      </c>
      <c r="U17" t="str">
        <f t="shared" si="2"/>
        <v>Vehicle-Heavy</v>
      </c>
    </row>
    <row r="18" spans="1:21" x14ac:dyDescent="0.25">
      <c r="A18" t="str">
        <f>Player_Class_Profile!A18</f>
        <v>Vince77820</v>
      </c>
      <c r="B18">
        <v>167</v>
      </c>
      <c r="C18" s="7">
        <v>344</v>
      </c>
      <c r="D18" s="8">
        <v>206</v>
      </c>
      <c r="E18" s="7">
        <v>62</v>
      </c>
      <c r="F18" s="12">
        <v>31</v>
      </c>
      <c r="G18" s="8">
        <v>6.75</v>
      </c>
      <c r="H18" s="8">
        <v>12</v>
      </c>
      <c r="I18" s="8">
        <v>2.5</v>
      </c>
      <c r="J18" s="8">
        <v>0</v>
      </c>
      <c r="K18" s="8">
        <v>10.75</v>
      </c>
      <c r="L18" s="8">
        <v>14</v>
      </c>
      <c r="M18" s="8">
        <v>2</v>
      </c>
      <c r="N18" s="7">
        <v>0.25</v>
      </c>
      <c r="O18" s="12">
        <v>4.25</v>
      </c>
      <c r="P18" s="7">
        <f>SUM(Player_Mode_Profile!C18:D18)</f>
        <v>550</v>
      </c>
      <c r="Q18" s="8">
        <f>SUM(Player_Mode_Profile!E18:F18)</f>
        <v>93</v>
      </c>
      <c r="R18" s="8">
        <f>SUM(Player_Mode_Profile!G18:M18)</f>
        <v>48</v>
      </c>
      <c r="S18" s="8">
        <f>SUM(Player_Mode_Profile!N18:O18)</f>
        <v>4.5</v>
      </c>
      <c r="T18" s="8">
        <f t="shared" si="1"/>
        <v>695.5</v>
      </c>
      <c r="U18" t="str">
        <f t="shared" si="2"/>
        <v>Vehicle-Heavy</v>
      </c>
    </row>
    <row r="19" spans="1:21" x14ac:dyDescent="0.25">
      <c r="A19" t="str">
        <f>Player_Class_Profile!A19</f>
        <v>issa_coot</v>
      </c>
      <c r="B19">
        <v>177</v>
      </c>
      <c r="C19" s="7">
        <v>313</v>
      </c>
      <c r="D19" s="8">
        <v>128</v>
      </c>
      <c r="E19" s="7">
        <v>104</v>
      </c>
      <c r="F19" s="12">
        <v>12</v>
      </c>
      <c r="G19" s="8">
        <v>4.25</v>
      </c>
      <c r="H19" s="8">
        <v>7.75</v>
      </c>
      <c r="I19" s="8">
        <v>1.5</v>
      </c>
      <c r="J19" s="8">
        <v>8.75</v>
      </c>
      <c r="K19" s="8">
        <v>5.25</v>
      </c>
      <c r="L19" s="8">
        <v>7.25</v>
      </c>
      <c r="M19" s="8">
        <v>10.5</v>
      </c>
      <c r="N19" s="7">
        <v>4.25</v>
      </c>
      <c r="O19" s="12">
        <v>0</v>
      </c>
      <c r="P19" s="7">
        <f>SUM(Player_Mode_Profile!C19:D19)</f>
        <v>441</v>
      </c>
      <c r="Q19" s="8">
        <f>SUM(Player_Mode_Profile!E19:F19)</f>
        <v>116</v>
      </c>
      <c r="R19" s="8">
        <f>SUM(Player_Mode_Profile!G19:M19)</f>
        <v>45.25</v>
      </c>
      <c r="S19" s="8">
        <f>SUM(Player_Mode_Profile!N19:O19)</f>
        <v>4.25</v>
      </c>
      <c r="T19" s="8">
        <f t="shared" si="1"/>
        <v>606.5</v>
      </c>
      <c r="U19" t="str">
        <f t="shared" si="2"/>
        <v>Vehicle-Heavy</v>
      </c>
    </row>
    <row r="20" spans="1:21" x14ac:dyDescent="0.25">
      <c r="A20" t="str">
        <f>Player_Class_Profile!A20</f>
        <v>Altelete</v>
      </c>
      <c r="B20">
        <v>187</v>
      </c>
      <c r="C20" s="7">
        <v>653</v>
      </c>
      <c r="D20" s="8">
        <v>208</v>
      </c>
      <c r="E20" s="7">
        <v>125</v>
      </c>
      <c r="F20" s="12">
        <v>3.25</v>
      </c>
      <c r="G20" s="8">
        <v>0.75</v>
      </c>
      <c r="H20" s="8">
        <v>0</v>
      </c>
      <c r="I20" s="8">
        <v>0.75</v>
      </c>
      <c r="J20" s="8">
        <v>13</v>
      </c>
      <c r="K20" s="8">
        <v>5.5</v>
      </c>
      <c r="L20" s="8">
        <v>1.25</v>
      </c>
      <c r="M20" s="8">
        <v>1</v>
      </c>
      <c r="N20" s="7">
        <v>36</v>
      </c>
      <c r="O20" s="12">
        <v>0</v>
      </c>
      <c r="P20" s="7">
        <f>SUM(Player_Mode_Profile!C20:D20)</f>
        <v>861</v>
      </c>
      <c r="Q20" s="8">
        <f>SUM(Player_Mode_Profile!E20:F20)</f>
        <v>128.25</v>
      </c>
      <c r="R20" s="8">
        <f>SUM(Player_Mode_Profile!G20:M20)</f>
        <v>22.25</v>
      </c>
      <c r="S20" s="8">
        <f>SUM(Player_Mode_Profile!N20:O20)</f>
        <v>36</v>
      </c>
      <c r="T20" s="8">
        <f t="shared" si="1"/>
        <v>1047.5</v>
      </c>
      <c r="U20" t="str">
        <f t="shared" si="2"/>
        <v>Vehicle-Heavy</v>
      </c>
    </row>
    <row r="21" spans="1:21" x14ac:dyDescent="0.25">
      <c r="A21" t="str">
        <f>Player_Class_Profile!A21</f>
        <v>on3fr3ak</v>
      </c>
      <c r="B21">
        <v>197</v>
      </c>
      <c r="C21" s="7">
        <v>565</v>
      </c>
      <c r="D21" s="8">
        <v>20</v>
      </c>
      <c r="E21" s="7">
        <v>15</v>
      </c>
      <c r="F21" s="12">
        <v>10.25</v>
      </c>
      <c r="G21" s="8">
        <v>3</v>
      </c>
      <c r="H21" s="8">
        <v>2</v>
      </c>
      <c r="I21" s="8">
        <v>2</v>
      </c>
      <c r="J21" s="8">
        <v>12</v>
      </c>
      <c r="K21" s="8">
        <v>4.75</v>
      </c>
      <c r="L21" s="8">
        <v>6.75</v>
      </c>
      <c r="M21" s="8">
        <v>7</v>
      </c>
      <c r="N21" s="7">
        <v>3</v>
      </c>
      <c r="O21" s="12">
        <v>14</v>
      </c>
      <c r="P21" s="7">
        <f>SUM(Player_Mode_Profile!C21:D21)</f>
        <v>585</v>
      </c>
      <c r="Q21" s="8">
        <f>SUM(Player_Mode_Profile!E21:F21)</f>
        <v>25.25</v>
      </c>
      <c r="R21" s="8">
        <f>SUM(Player_Mode_Profile!G21:M21)</f>
        <v>37.5</v>
      </c>
      <c r="S21" s="8">
        <f>SUM(Player_Mode_Profile!N21:O21)</f>
        <v>17</v>
      </c>
      <c r="T21" s="8">
        <f t="shared" si="1"/>
        <v>664.75</v>
      </c>
      <c r="U21" t="str">
        <f t="shared" si="2"/>
        <v>Vehicle-Heavy</v>
      </c>
    </row>
    <row r="22" spans="1:21" x14ac:dyDescent="0.25">
      <c r="A22" t="str">
        <f>Player_Class_Profile!A22</f>
        <v>Felliandro</v>
      </c>
      <c r="B22">
        <v>207</v>
      </c>
      <c r="C22" s="7">
        <v>66</v>
      </c>
      <c r="D22" s="8">
        <v>12</v>
      </c>
      <c r="E22" s="7">
        <v>38</v>
      </c>
      <c r="F22" s="12">
        <v>41</v>
      </c>
      <c r="G22" s="8">
        <v>172</v>
      </c>
      <c r="H22" s="8">
        <v>52</v>
      </c>
      <c r="I22" s="8">
        <v>7.25</v>
      </c>
      <c r="J22" s="8">
        <v>11</v>
      </c>
      <c r="K22" s="8">
        <v>17</v>
      </c>
      <c r="L22" s="8">
        <v>6</v>
      </c>
      <c r="M22" s="8">
        <v>1</v>
      </c>
      <c r="N22" s="7">
        <v>8.5</v>
      </c>
      <c r="O22" s="12">
        <v>2</v>
      </c>
      <c r="P22" s="7">
        <f>SUM(Player_Mode_Profile!C22:D22)</f>
        <v>78</v>
      </c>
      <c r="Q22" s="8">
        <f>SUM(Player_Mode_Profile!E22:F22)</f>
        <v>79</v>
      </c>
      <c r="R22" s="8">
        <f>SUM(Player_Mode_Profile!G22:M22)</f>
        <v>266.25</v>
      </c>
      <c r="S22" s="8">
        <f>SUM(Player_Mode_Profile!N22:O22)</f>
        <v>10.5</v>
      </c>
      <c r="T22" s="8">
        <f t="shared" si="1"/>
        <v>433.75</v>
      </c>
      <c r="U22" t="str">
        <f t="shared" si="2"/>
        <v>Infantry-Heavy</v>
      </c>
    </row>
    <row r="23" spans="1:21" x14ac:dyDescent="0.25">
      <c r="A23" t="str">
        <f>Player_Class_Profile!A23</f>
        <v>Tohu-1021</v>
      </c>
      <c r="B23">
        <v>217</v>
      </c>
      <c r="C23" s="7">
        <v>361</v>
      </c>
      <c r="D23" s="8">
        <v>29</v>
      </c>
      <c r="E23" s="7">
        <v>115</v>
      </c>
      <c r="F23" s="12">
        <v>60</v>
      </c>
      <c r="G23" s="8">
        <v>18</v>
      </c>
      <c r="H23" s="8">
        <v>6.25</v>
      </c>
      <c r="I23" s="8">
        <v>0</v>
      </c>
      <c r="J23" s="8">
        <v>13</v>
      </c>
      <c r="K23" s="8">
        <v>10.5</v>
      </c>
      <c r="L23" s="8">
        <v>13</v>
      </c>
      <c r="M23" s="8">
        <v>2</v>
      </c>
      <c r="N23" s="7">
        <v>8</v>
      </c>
      <c r="O23" s="12">
        <v>10.5</v>
      </c>
      <c r="P23" s="7">
        <f>SUM(Player_Mode_Profile!C23:D23)</f>
        <v>390</v>
      </c>
      <c r="Q23" s="8">
        <f>SUM(Player_Mode_Profile!E23:F23)</f>
        <v>175</v>
      </c>
      <c r="R23" s="8">
        <f>SUM(Player_Mode_Profile!G23:M23)</f>
        <v>62.75</v>
      </c>
      <c r="S23" s="8">
        <f>SUM(Player_Mode_Profile!N23:O23)</f>
        <v>18.5</v>
      </c>
      <c r="T23" s="8">
        <f t="shared" si="1"/>
        <v>646.25</v>
      </c>
      <c r="U23" t="str">
        <f t="shared" si="2"/>
        <v>Vehicle-Heavy</v>
      </c>
    </row>
    <row r="24" spans="1:21" x14ac:dyDescent="0.25">
      <c r="A24" t="str">
        <f>Player_Class_Profile!A24</f>
        <v>Francko Escobar</v>
      </c>
      <c r="B24">
        <v>227</v>
      </c>
      <c r="C24" s="7">
        <v>159</v>
      </c>
      <c r="D24" s="8">
        <v>19</v>
      </c>
      <c r="E24" s="7">
        <v>85</v>
      </c>
      <c r="F24" s="12">
        <v>19</v>
      </c>
      <c r="G24" s="8">
        <v>41</v>
      </c>
      <c r="H24" s="8">
        <v>11.5</v>
      </c>
      <c r="I24" s="8">
        <v>18</v>
      </c>
      <c r="J24" s="8">
        <v>64</v>
      </c>
      <c r="K24" s="8">
        <v>246</v>
      </c>
      <c r="L24" s="8">
        <v>41</v>
      </c>
      <c r="M24" s="8">
        <v>1.5</v>
      </c>
      <c r="N24" s="7">
        <v>6</v>
      </c>
      <c r="O24" s="12">
        <v>0.5</v>
      </c>
      <c r="P24" s="7">
        <f>SUM(Player_Mode_Profile!C24:D24)</f>
        <v>178</v>
      </c>
      <c r="Q24" s="8">
        <f>SUM(Player_Mode_Profile!E24:F24)</f>
        <v>104</v>
      </c>
      <c r="R24" s="8">
        <f>SUM(Player_Mode_Profile!G24:M24)</f>
        <v>423</v>
      </c>
      <c r="S24" s="8">
        <f>SUM(Player_Mode_Profile!N24:O24)</f>
        <v>6.5</v>
      </c>
      <c r="T24" s="8">
        <f t="shared" ref="T24" si="3">SUM(P24:S24)</f>
        <v>711.5</v>
      </c>
      <c r="U24" t="str">
        <f t="shared" ref="U24" si="4">IF(SUM(P24:S24)=0,"",IF(S24/SUM(P24:S24)&gt;=0.5,"Battle Royale",IF(R24/SUM(P24:R24)&gt;=0.6,"Infantry-Heavy",IF((P24+0.7*Q24)/SUM(P24:R24)&gt;=0.7,"Vehicle-Heavy","Mixed"))))</f>
        <v>Infantry-Heavy</v>
      </c>
    </row>
    <row r="25" spans="1:21" x14ac:dyDescent="0.25">
      <c r="A25" t="str">
        <f>Player_Class_Profile!A25</f>
        <v>Rubiroid_YT</v>
      </c>
      <c r="B25">
        <v>237</v>
      </c>
      <c r="C25" s="7">
        <v>12</v>
      </c>
      <c r="D25" s="8">
        <v>591</v>
      </c>
      <c r="E25" s="7">
        <v>119</v>
      </c>
      <c r="F25" s="12">
        <v>5</v>
      </c>
      <c r="G25" s="8">
        <v>0.75</v>
      </c>
      <c r="H25" s="8">
        <v>1.25</v>
      </c>
      <c r="I25" s="8">
        <v>0.5</v>
      </c>
      <c r="J25" s="8">
        <v>3.75</v>
      </c>
      <c r="K25" s="8">
        <v>3</v>
      </c>
      <c r="L25" s="8">
        <v>1</v>
      </c>
      <c r="M25" s="8">
        <v>1.5</v>
      </c>
      <c r="N25" s="7">
        <v>2.75</v>
      </c>
      <c r="O25" s="12">
        <v>0</v>
      </c>
      <c r="P25" s="7">
        <f>SUM(Player_Mode_Profile!C25:D25)</f>
        <v>603</v>
      </c>
      <c r="Q25" s="8">
        <f>SUM(Player_Mode_Profile!E25:F25)</f>
        <v>124</v>
      </c>
      <c r="R25" s="8">
        <f>SUM(Player_Mode_Profile!G25:M25)</f>
        <v>11.75</v>
      </c>
      <c r="S25" s="8">
        <f>SUM(Player_Mode_Profile!N25:O25)</f>
        <v>2.75</v>
      </c>
      <c r="T25" s="8">
        <f t="shared" ref="T25:T31" si="5">SUM(P25:S25)</f>
        <v>741.5</v>
      </c>
      <c r="U25" t="str">
        <f t="shared" ref="U25:U31" si="6">IF(SUM(P25:S25)=0,"",IF(S25/SUM(P25:S25)&gt;=0.5,"Battle Royale",IF(R25/SUM(P25:R25)&gt;=0.6,"Infantry-Heavy",IF((P25+0.7*Q25)/SUM(P25:R25)&gt;=0.7,"Vehicle-Heavy","Mixed"))))</f>
        <v>Vehicle-Heavy</v>
      </c>
    </row>
    <row r="26" spans="1:21" x14ac:dyDescent="0.25">
      <c r="A26" t="str">
        <f>Player_Class_Profile!A26</f>
        <v>THE1ST48</v>
      </c>
      <c r="B26">
        <v>247</v>
      </c>
      <c r="C26" s="7">
        <v>159</v>
      </c>
      <c r="D26" s="8">
        <v>12</v>
      </c>
      <c r="E26" s="7">
        <v>54</v>
      </c>
      <c r="F26" s="12">
        <v>8.25</v>
      </c>
      <c r="G26" s="8">
        <v>49</v>
      </c>
      <c r="H26" s="8">
        <v>25</v>
      </c>
      <c r="I26" s="8">
        <v>4.75</v>
      </c>
      <c r="J26" s="8">
        <v>55</v>
      </c>
      <c r="K26" s="8">
        <v>93</v>
      </c>
      <c r="L26" s="8">
        <v>76</v>
      </c>
      <c r="M26" s="8">
        <v>4.75</v>
      </c>
      <c r="N26" s="7">
        <v>8.5</v>
      </c>
      <c r="O26" s="12">
        <v>44</v>
      </c>
      <c r="P26" s="7">
        <f>SUM(Player_Mode_Profile!C26:D26)</f>
        <v>171</v>
      </c>
      <c r="Q26" s="8">
        <f>SUM(Player_Mode_Profile!E26:F26)</f>
        <v>62.25</v>
      </c>
      <c r="R26" s="8">
        <f>SUM(Player_Mode_Profile!G26:M26)</f>
        <v>307.5</v>
      </c>
      <c r="S26" s="8">
        <f>SUM(Player_Mode_Profile!N26:O26)</f>
        <v>52.5</v>
      </c>
      <c r="T26" s="8">
        <f t="shared" si="5"/>
        <v>593.25</v>
      </c>
      <c r="U26" t="str">
        <f t="shared" si="6"/>
        <v>Mixed</v>
      </c>
    </row>
    <row r="27" spans="1:21" x14ac:dyDescent="0.25">
      <c r="A27" t="str">
        <f>Player_Class_Profile!A27</f>
        <v>Pugskooll</v>
      </c>
      <c r="B27">
        <v>257</v>
      </c>
      <c r="C27" s="7">
        <v>474</v>
      </c>
      <c r="D27" s="8">
        <v>208</v>
      </c>
      <c r="E27" s="7">
        <v>71</v>
      </c>
      <c r="F27" s="12">
        <v>6.5</v>
      </c>
      <c r="G27" s="8">
        <v>0.25</v>
      </c>
      <c r="H27" s="8">
        <v>0</v>
      </c>
      <c r="I27" s="8">
        <v>1</v>
      </c>
      <c r="J27" s="8">
        <v>2.5</v>
      </c>
      <c r="K27" s="8">
        <v>0.75</v>
      </c>
      <c r="L27" s="8">
        <v>1</v>
      </c>
      <c r="M27" s="8">
        <v>0.25</v>
      </c>
      <c r="N27" s="7">
        <v>32</v>
      </c>
      <c r="O27" s="12">
        <v>5</v>
      </c>
      <c r="P27" s="7">
        <f>SUM(Player_Mode_Profile!C27:D27)</f>
        <v>682</v>
      </c>
      <c r="Q27" s="8">
        <f>SUM(Player_Mode_Profile!E27:F27)</f>
        <v>77.5</v>
      </c>
      <c r="R27" s="8">
        <f>SUM(Player_Mode_Profile!G27:M27)</f>
        <v>5.75</v>
      </c>
      <c r="S27" s="8">
        <f>SUM(Player_Mode_Profile!N27:O27)</f>
        <v>37</v>
      </c>
      <c r="T27" s="8">
        <f t="shared" si="5"/>
        <v>802.25</v>
      </c>
      <c r="U27" t="str">
        <f t="shared" si="6"/>
        <v>Vehicle-Heavy</v>
      </c>
    </row>
    <row r="28" spans="1:21" x14ac:dyDescent="0.25">
      <c r="A28" t="str">
        <f>Player_Class_Profile!A28</f>
        <v>Morthylia</v>
      </c>
      <c r="B28">
        <v>267</v>
      </c>
      <c r="C28" s="7">
        <v>208</v>
      </c>
      <c r="D28" s="8">
        <v>182</v>
      </c>
      <c r="E28" s="7">
        <v>30</v>
      </c>
      <c r="F28" s="12">
        <v>25</v>
      </c>
      <c r="G28" s="8">
        <v>10</v>
      </c>
      <c r="H28" s="8">
        <v>1.5</v>
      </c>
      <c r="I28" s="8">
        <v>0.5</v>
      </c>
      <c r="J28" s="8">
        <v>7.5</v>
      </c>
      <c r="K28" s="8">
        <v>7</v>
      </c>
      <c r="L28" s="8">
        <v>2.75</v>
      </c>
      <c r="M28" s="8">
        <v>2</v>
      </c>
      <c r="N28" s="7">
        <v>3</v>
      </c>
      <c r="O28" s="12">
        <v>0</v>
      </c>
      <c r="P28" s="7">
        <f>SUM(Player_Mode_Profile!C28:D28)</f>
        <v>390</v>
      </c>
      <c r="Q28" s="8">
        <f>SUM(Player_Mode_Profile!E28:F28)</f>
        <v>55</v>
      </c>
      <c r="R28" s="8">
        <f>SUM(Player_Mode_Profile!G28:M28)</f>
        <v>31.25</v>
      </c>
      <c r="S28" s="8">
        <f>SUM(Player_Mode_Profile!N28:O28)</f>
        <v>3</v>
      </c>
      <c r="T28" s="8">
        <f t="shared" si="5"/>
        <v>479.25</v>
      </c>
      <c r="U28" t="str">
        <f t="shared" si="6"/>
        <v>Vehicle-Heavy</v>
      </c>
    </row>
    <row r="29" spans="1:21" x14ac:dyDescent="0.25">
      <c r="A29" t="str">
        <f>Player_Class_Profile!A29</f>
        <v>MrTopherB</v>
      </c>
      <c r="B29">
        <v>277</v>
      </c>
      <c r="C29" s="7">
        <v>211</v>
      </c>
      <c r="D29" s="8">
        <v>247</v>
      </c>
      <c r="E29" s="7">
        <v>150</v>
      </c>
      <c r="F29" s="12">
        <v>1</v>
      </c>
      <c r="G29" s="8">
        <v>0.5</v>
      </c>
      <c r="H29" s="8">
        <v>0.25</v>
      </c>
      <c r="I29" s="8">
        <v>0</v>
      </c>
      <c r="J29" s="8">
        <v>0</v>
      </c>
      <c r="K29" s="8">
        <v>4</v>
      </c>
      <c r="L29" s="8">
        <v>1</v>
      </c>
      <c r="M29" s="8">
        <v>0.25</v>
      </c>
      <c r="N29" s="7">
        <v>0.25</v>
      </c>
      <c r="O29" s="12">
        <v>0</v>
      </c>
      <c r="P29" s="7">
        <f>SUM(Player_Mode_Profile!C29:D29)</f>
        <v>458</v>
      </c>
      <c r="Q29" s="8">
        <f>SUM(Player_Mode_Profile!E29:F29)</f>
        <v>151</v>
      </c>
      <c r="R29" s="8">
        <f>SUM(Player_Mode_Profile!G29:M29)</f>
        <v>6</v>
      </c>
      <c r="S29" s="8">
        <f>SUM(Player_Mode_Profile!N29:O29)</f>
        <v>0.25</v>
      </c>
      <c r="T29" s="8">
        <f t="shared" si="5"/>
        <v>615.25</v>
      </c>
      <c r="U29" t="str">
        <f t="shared" si="6"/>
        <v>Vehicle-Heavy</v>
      </c>
    </row>
    <row r="30" spans="1:21" x14ac:dyDescent="0.25">
      <c r="A30" t="str">
        <f>Player_Class_Profile!A30</f>
        <v>Notinsanity</v>
      </c>
      <c r="B30">
        <v>287</v>
      </c>
      <c r="C30" s="7">
        <v>474</v>
      </c>
      <c r="D30" s="8">
        <v>281</v>
      </c>
      <c r="E30" s="7">
        <v>6.25</v>
      </c>
      <c r="F30" s="12">
        <v>0</v>
      </c>
      <c r="G30" s="8">
        <v>1.5</v>
      </c>
      <c r="H30" s="8">
        <v>1</v>
      </c>
      <c r="I30" s="8">
        <v>0</v>
      </c>
      <c r="J30" s="8">
        <v>0</v>
      </c>
      <c r="K30" s="8">
        <v>0.5</v>
      </c>
      <c r="L30" s="8">
        <v>0.25</v>
      </c>
      <c r="M30" s="8">
        <v>0</v>
      </c>
      <c r="N30" s="7">
        <v>0</v>
      </c>
      <c r="O30" s="12">
        <v>0</v>
      </c>
      <c r="P30" s="7">
        <f>SUM(Player_Mode_Profile!C30:D30)</f>
        <v>755</v>
      </c>
      <c r="Q30" s="8">
        <f>SUM(Player_Mode_Profile!E30:F30)</f>
        <v>6.25</v>
      </c>
      <c r="R30" s="8">
        <f>SUM(Player_Mode_Profile!G30:M30)</f>
        <v>3.25</v>
      </c>
      <c r="S30" s="8">
        <f>SUM(Player_Mode_Profile!N30:O30)</f>
        <v>0</v>
      </c>
      <c r="T30" s="8">
        <f t="shared" si="5"/>
        <v>764.5</v>
      </c>
      <c r="U30" t="str">
        <f t="shared" si="6"/>
        <v>Vehicle-Heavy</v>
      </c>
    </row>
    <row r="31" spans="1:21" x14ac:dyDescent="0.25">
      <c r="A31" t="str">
        <f>Player_Class_Profile!A31</f>
        <v>Republic</v>
      </c>
      <c r="B31">
        <v>297</v>
      </c>
      <c r="C31" s="7">
        <v>86</v>
      </c>
      <c r="D31" s="8">
        <v>163</v>
      </c>
      <c r="E31" s="7">
        <v>237</v>
      </c>
      <c r="F31" s="12">
        <v>1</v>
      </c>
      <c r="G31" s="8">
        <v>3.25</v>
      </c>
      <c r="H31" s="8">
        <v>1.75</v>
      </c>
      <c r="I31" s="8">
        <v>0</v>
      </c>
      <c r="J31" s="8">
        <v>2</v>
      </c>
      <c r="K31" s="8">
        <v>3.25</v>
      </c>
      <c r="L31" s="8">
        <v>3</v>
      </c>
      <c r="M31" s="8">
        <v>0.25</v>
      </c>
      <c r="N31" s="7">
        <v>0.5</v>
      </c>
      <c r="O31" s="12">
        <v>1.75</v>
      </c>
      <c r="P31" s="7">
        <f>SUM(Player_Mode_Profile!C31:D31)</f>
        <v>249</v>
      </c>
      <c r="Q31" s="8">
        <f>SUM(Player_Mode_Profile!E31:F31)</f>
        <v>238</v>
      </c>
      <c r="R31" s="8">
        <f>SUM(Player_Mode_Profile!G31:M31)</f>
        <v>13.5</v>
      </c>
      <c r="S31" s="8">
        <f>SUM(Player_Mode_Profile!N31:O31)</f>
        <v>2.25</v>
      </c>
      <c r="T31" s="8">
        <f t="shared" si="5"/>
        <v>502.75</v>
      </c>
      <c r="U31" t="str">
        <f t="shared" si="6"/>
        <v>Vehicle-Heavy</v>
      </c>
    </row>
    <row r="32" spans="1:21" x14ac:dyDescent="0.25">
      <c r="A32" t="str">
        <f>Player_Class_Profile!A32</f>
        <v>derekcollins123456</v>
      </c>
      <c r="B32">
        <v>307</v>
      </c>
      <c r="C32" s="7">
        <v>21</v>
      </c>
      <c r="D32" s="8">
        <v>8</v>
      </c>
      <c r="E32" s="7">
        <v>21</v>
      </c>
      <c r="F32" s="12">
        <v>3.25</v>
      </c>
      <c r="G32" s="8">
        <v>84</v>
      </c>
      <c r="H32" s="8">
        <v>40</v>
      </c>
      <c r="I32" s="8">
        <v>276</v>
      </c>
      <c r="J32" s="8">
        <v>65</v>
      </c>
      <c r="K32" s="8">
        <v>2.75</v>
      </c>
      <c r="L32" s="8">
        <v>3.25</v>
      </c>
      <c r="M32" s="8">
        <v>6.75</v>
      </c>
      <c r="N32" s="7">
        <v>16</v>
      </c>
      <c r="O32" s="12">
        <v>0.75</v>
      </c>
      <c r="P32" s="7">
        <f>SUM(Player_Mode_Profile!C32:D32)</f>
        <v>29</v>
      </c>
      <c r="Q32" s="8">
        <f>SUM(Player_Mode_Profile!E32:F32)</f>
        <v>24.25</v>
      </c>
      <c r="R32" s="8">
        <f>SUM(Player_Mode_Profile!G32:M32)</f>
        <v>477.75</v>
      </c>
      <c r="S32" s="8">
        <f>SUM(Player_Mode_Profile!N32:O32)</f>
        <v>16.75</v>
      </c>
      <c r="T32" s="8">
        <f t="shared" ref="T32:T39" si="7">SUM(P32:S32)</f>
        <v>547.75</v>
      </c>
      <c r="U32" t="str">
        <f t="shared" ref="U32:U39" si="8">IF(SUM(P32:S32)=0,"",IF(S32/SUM(P32:S32)&gt;=0.5,"Battle Royale",IF(R32/SUM(P32:R32)&gt;=0.6,"Infantry-Heavy",IF((P32+0.7*Q32)/SUM(P32:R32)&gt;=0.7,"Vehicle-Heavy","Mixed"))))</f>
        <v>Infantry-Heavy</v>
      </c>
    </row>
    <row r="33" spans="1:21" x14ac:dyDescent="0.25">
      <c r="A33" t="str">
        <f>Player_Class_Profile!A33</f>
        <v>Beserker_khan</v>
      </c>
      <c r="B33">
        <v>317</v>
      </c>
      <c r="C33" s="7">
        <v>153</v>
      </c>
      <c r="D33" s="8">
        <v>48</v>
      </c>
      <c r="E33" s="7">
        <v>269</v>
      </c>
      <c r="F33" s="12">
        <v>50</v>
      </c>
      <c r="G33" s="8">
        <v>7.25</v>
      </c>
      <c r="H33" s="8">
        <v>0.5</v>
      </c>
      <c r="I33" s="8">
        <v>2.25</v>
      </c>
      <c r="J33" s="8">
        <v>5.25</v>
      </c>
      <c r="K33" s="8">
        <v>6.5</v>
      </c>
      <c r="L33" s="8">
        <v>3</v>
      </c>
      <c r="M33" s="8">
        <v>3</v>
      </c>
      <c r="N33" s="7">
        <v>83</v>
      </c>
      <c r="O33" s="12">
        <v>10</v>
      </c>
      <c r="P33" s="7">
        <f>SUM(Player_Mode_Profile!C33:D33)</f>
        <v>201</v>
      </c>
      <c r="Q33" s="8">
        <f>SUM(Player_Mode_Profile!E33:F33)</f>
        <v>319</v>
      </c>
      <c r="R33" s="8">
        <f>SUM(Player_Mode_Profile!G33:M33)</f>
        <v>27.75</v>
      </c>
      <c r="S33" s="8">
        <f>SUM(Player_Mode_Profile!N33:O33)</f>
        <v>93</v>
      </c>
      <c r="T33" s="8">
        <f t="shared" si="7"/>
        <v>640.75</v>
      </c>
      <c r="U33" t="str">
        <f t="shared" si="8"/>
        <v>Vehicle-Heavy</v>
      </c>
    </row>
    <row r="34" spans="1:21" x14ac:dyDescent="0.25">
      <c r="A34" t="str">
        <f>Player_Class_Profile!A34</f>
        <v>PDisPro</v>
      </c>
      <c r="B34">
        <v>327</v>
      </c>
      <c r="C34" s="7">
        <v>643</v>
      </c>
      <c r="D34" s="8">
        <v>69</v>
      </c>
      <c r="E34" s="7">
        <v>10</v>
      </c>
      <c r="F34" s="12">
        <v>1</v>
      </c>
      <c r="G34" s="8">
        <v>1</v>
      </c>
      <c r="H34" s="8">
        <v>1.5</v>
      </c>
      <c r="I34" s="8">
        <v>0</v>
      </c>
      <c r="J34" s="8">
        <v>0.5</v>
      </c>
      <c r="K34" s="8">
        <v>3.25</v>
      </c>
      <c r="L34" s="8">
        <v>0.25</v>
      </c>
      <c r="M34" s="8">
        <v>0.25</v>
      </c>
      <c r="N34" s="7">
        <v>1</v>
      </c>
      <c r="O34" s="12">
        <v>1</v>
      </c>
      <c r="P34" s="7">
        <f>SUM(Player_Mode_Profile!C34:D34)</f>
        <v>712</v>
      </c>
      <c r="Q34" s="8">
        <f>SUM(Player_Mode_Profile!E34:F34)</f>
        <v>11</v>
      </c>
      <c r="R34" s="8">
        <f>SUM(Player_Mode_Profile!G34:M34)</f>
        <v>6.75</v>
      </c>
      <c r="S34" s="8">
        <f>SUM(Player_Mode_Profile!N34:O34)</f>
        <v>2</v>
      </c>
      <c r="T34" s="8">
        <f t="shared" si="7"/>
        <v>731.75</v>
      </c>
      <c r="U34" t="str">
        <f t="shared" si="8"/>
        <v>Vehicle-Heavy</v>
      </c>
    </row>
    <row r="35" spans="1:21" x14ac:dyDescent="0.25">
      <c r="A35" t="str">
        <f>Player_Class_Profile!A35</f>
        <v>ARMENIA</v>
      </c>
      <c r="B35">
        <v>337</v>
      </c>
      <c r="C35" s="7">
        <v>494</v>
      </c>
      <c r="D35" s="8">
        <v>8.5</v>
      </c>
      <c r="E35" s="7">
        <v>64</v>
      </c>
      <c r="F35" s="12">
        <v>29</v>
      </c>
      <c r="G35" s="8">
        <v>13</v>
      </c>
      <c r="H35" s="8">
        <v>4</v>
      </c>
      <c r="I35" s="8">
        <v>0.5</v>
      </c>
      <c r="J35" s="8">
        <v>0.25</v>
      </c>
      <c r="K35" s="8">
        <v>10.75</v>
      </c>
      <c r="L35" s="8">
        <v>11.5</v>
      </c>
      <c r="M35" s="8">
        <v>0.25</v>
      </c>
      <c r="N35" s="7">
        <v>0</v>
      </c>
      <c r="O35" s="12">
        <v>0</v>
      </c>
      <c r="P35" s="7">
        <f>SUM(Player_Mode_Profile!C35:D35)</f>
        <v>502.5</v>
      </c>
      <c r="Q35" s="8">
        <f>SUM(Player_Mode_Profile!E35:F35)</f>
        <v>93</v>
      </c>
      <c r="R35" s="8">
        <f>SUM(Player_Mode_Profile!G35:M35)</f>
        <v>40.25</v>
      </c>
      <c r="S35" s="8">
        <f>SUM(Player_Mode_Profile!N35:O35)</f>
        <v>0</v>
      </c>
      <c r="T35" s="8">
        <f t="shared" si="7"/>
        <v>635.75</v>
      </c>
      <c r="U35" t="str">
        <f t="shared" si="8"/>
        <v>Vehicle-Heavy</v>
      </c>
    </row>
    <row r="36" spans="1:21" x14ac:dyDescent="0.25">
      <c r="A36" t="str">
        <f>Player_Class_Profile!A36</f>
        <v>Netl</v>
      </c>
      <c r="B36">
        <v>347</v>
      </c>
      <c r="C36" s="7">
        <v>76</v>
      </c>
      <c r="D36" s="8">
        <v>59</v>
      </c>
      <c r="E36" s="7">
        <v>55</v>
      </c>
      <c r="F36" s="12">
        <v>45</v>
      </c>
      <c r="G36" s="8">
        <v>24</v>
      </c>
      <c r="H36" s="8">
        <v>17</v>
      </c>
      <c r="I36" s="8">
        <v>28</v>
      </c>
      <c r="J36" s="8">
        <v>3.5</v>
      </c>
      <c r="K36" s="8">
        <v>19</v>
      </c>
      <c r="L36" s="8">
        <v>19</v>
      </c>
      <c r="M36" s="8">
        <v>3</v>
      </c>
      <c r="N36" s="7">
        <v>325</v>
      </c>
      <c r="O36" s="12">
        <v>47</v>
      </c>
      <c r="P36" s="7">
        <f>SUM(Player_Mode_Profile!C36:D36)</f>
        <v>135</v>
      </c>
      <c r="Q36" s="8">
        <f>SUM(Player_Mode_Profile!E36:F36)</f>
        <v>100</v>
      </c>
      <c r="R36" s="8">
        <f>SUM(Player_Mode_Profile!G36:M36)</f>
        <v>113.5</v>
      </c>
      <c r="S36" s="8">
        <f>SUM(Player_Mode_Profile!N36:O36)</f>
        <v>372</v>
      </c>
      <c r="T36" s="8">
        <f t="shared" si="7"/>
        <v>720.5</v>
      </c>
      <c r="U36" t="str">
        <f t="shared" si="8"/>
        <v>Battle Royale</v>
      </c>
    </row>
    <row r="37" spans="1:21" x14ac:dyDescent="0.25">
      <c r="A37" t="str">
        <f>Player_Class_Profile!A37</f>
        <v>FridaySV</v>
      </c>
      <c r="B37">
        <v>357</v>
      </c>
      <c r="C37" s="7">
        <v>195</v>
      </c>
      <c r="D37" s="8">
        <v>57</v>
      </c>
      <c r="E37" s="7">
        <v>103</v>
      </c>
      <c r="F37" s="12">
        <v>28</v>
      </c>
      <c r="G37" s="8">
        <v>0.75</v>
      </c>
      <c r="H37" s="8">
        <v>0.75</v>
      </c>
      <c r="I37" s="8">
        <v>0.5</v>
      </c>
      <c r="J37" s="8">
        <v>9</v>
      </c>
      <c r="K37" s="8">
        <v>13</v>
      </c>
      <c r="L37" s="8">
        <v>159</v>
      </c>
      <c r="M37" s="8">
        <v>12</v>
      </c>
      <c r="N37" s="7">
        <v>0.25</v>
      </c>
      <c r="O37" s="12">
        <v>0.75</v>
      </c>
      <c r="P37" s="7">
        <f>SUM(Player_Mode_Profile!C37:D37)</f>
        <v>252</v>
      </c>
      <c r="Q37" s="8">
        <f>SUM(Player_Mode_Profile!E37:F37)</f>
        <v>131</v>
      </c>
      <c r="R37" s="8">
        <f>SUM(Player_Mode_Profile!G37:M37)</f>
        <v>195</v>
      </c>
      <c r="S37" s="8">
        <f>SUM(Player_Mode_Profile!N37:O37)</f>
        <v>1</v>
      </c>
      <c r="T37" s="8">
        <f t="shared" si="7"/>
        <v>579</v>
      </c>
      <c r="U37" t="str">
        <f t="shared" si="8"/>
        <v>Mixed</v>
      </c>
    </row>
    <row r="38" spans="1:21" x14ac:dyDescent="0.25">
      <c r="A38" t="str">
        <f>Player_Class_Profile!A38</f>
        <v>Polishman22</v>
      </c>
      <c r="B38">
        <v>367</v>
      </c>
      <c r="C38" s="7">
        <v>160</v>
      </c>
      <c r="D38" s="8">
        <v>61</v>
      </c>
      <c r="E38" s="7">
        <v>151</v>
      </c>
      <c r="F38" s="12">
        <v>35</v>
      </c>
      <c r="G38" s="8">
        <v>18</v>
      </c>
      <c r="H38" s="8">
        <v>12</v>
      </c>
      <c r="I38" s="8">
        <v>7.5</v>
      </c>
      <c r="J38" s="8">
        <v>118</v>
      </c>
      <c r="K38" s="8">
        <v>21</v>
      </c>
      <c r="L38" s="8">
        <v>7.25</v>
      </c>
      <c r="M38" s="8">
        <v>9.5</v>
      </c>
      <c r="N38" s="7">
        <v>59</v>
      </c>
      <c r="O38" s="12">
        <v>23</v>
      </c>
      <c r="P38" s="7">
        <f>SUM(Player_Mode_Profile!C38:D38)</f>
        <v>221</v>
      </c>
      <c r="Q38" s="8">
        <f>SUM(Player_Mode_Profile!E38:F38)</f>
        <v>186</v>
      </c>
      <c r="R38" s="8">
        <f>SUM(Player_Mode_Profile!G38:M38)</f>
        <v>193.25</v>
      </c>
      <c r="S38" s="8">
        <f>SUM(Player_Mode_Profile!N38:O38)</f>
        <v>82</v>
      </c>
      <c r="T38" s="8">
        <f t="shared" si="7"/>
        <v>682.25</v>
      </c>
      <c r="U38" t="str">
        <f t="shared" si="8"/>
        <v>Mixed</v>
      </c>
    </row>
    <row r="39" spans="1:21" x14ac:dyDescent="0.25">
      <c r="A39" t="str">
        <f>Player_Class_Profile!A39</f>
        <v>SuperPikasso</v>
      </c>
      <c r="B39">
        <v>377</v>
      </c>
      <c r="C39" s="7">
        <v>439</v>
      </c>
      <c r="D39" s="8">
        <v>27</v>
      </c>
      <c r="E39" s="7">
        <v>183</v>
      </c>
      <c r="F39" s="12">
        <v>5.5</v>
      </c>
      <c r="G39" s="8">
        <v>1.25</v>
      </c>
      <c r="H39" s="8">
        <v>1.75</v>
      </c>
      <c r="I39" s="8">
        <v>3.25</v>
      </c>
      <c r="J39" s="8">
        <v>12</v>
      </c>
      <c r="K39" s="8">
        <v>67</v>
      </c>
      <c r="L39" s="8">
        <v>8.5</v>
      </c>
      <c r="M39" s="8">
        <v>1</v>
      </c>
      <c r="N39" s="7">
        <v>0</v>
      </c>
      <c r="O39" s="12">
        <v>0.75</v>
      </c>
      <c r="P39" s="7">
        <f>SUM(Player_Mode_Profile!C39:D39)</f>
        <v>466</v>
      </c>
      <c r="Q39" s="8">
        <f>SUM(Player_Mode_Profile!E39:F39)</f>
        <v>188.5</v>
      </c>
      <c r="R39" s="8">
        <f>SUM(Player_Mode_Profile!G39:M39)</f>
        <v>94.75</v>
      </c>
      <c r="S39" s="8">
        <f>SUM(Player_Mode_Profile!N39:O39)</f>
        <v>0.75</v>
      </c>
      <c r="T39" s="8">
        <f t="shared" si="7"/>
        <v>750</v>
      </c>
      <c r="U39" t="str">
        <f t="shared" si="8"/>
        <v>Vehicle-Heavy</v>
      </c>
    </row>
    <row r="40" spans="1:21" x14ac:dyDescent="0.25">
      <c r="A40" t="str">
        <f>Player_Class_Profile!A40</f>
        <v>Olegich_999</v>
      </c>
      <c r="B40">
        <v>387</v>
      </c>
      <c r="C40" s="7">
        <v>124</v>
      </c>
      <c r="D40" s="8">
        <v>27</v>
      </c>
      <c r="E40" s="7">
        <v>45</v>
      </c>
      <c r="F40" s="12">
        <v>14</v>
      </c>
      <c r="G40" s="8">
        <v>45</v>
      </c>
      <c r="H40" s="8">
        <v>18</v>
      </c>
      <c r="I40" s="8">
        <v>2.5</v>
      </c>
      <c r="J40" s="8">
        <v>16</v>
      </c>
      <c r="K40" s="8">
        <v>68</v>
      </c>
      <c r="L40" s="8">
        <v>59</v>
      </c>
      <c r="M40" s="8">
        <v>9</v>
      </c>
      <c r="N40" s="7">
        <v>107</v>
      </c>
      <c r="O40" s="12">
        <v>55</v>
      </c>
      <c r="P40" s="7">
        <f>SUM(Player_Mode_Profile!C40:D40)</f>
        <v>151</v>
      </c>
      <c r="Q40" s="8">
        <f>SUM(Player_Mode_Profile!E40:F40)</f>
        <v>59</v>
      </c>
      <c r="R40" s="8">
        <f>SUM(Player_Mode_Profile!G40:M40)</f>
        <v>217.5</v>
      </c>
      <c r="S40" s="8">
        <f>SUM(Player_Mode_Profile!N40:O40)</f>
        <v>162</v>
      </c>
      <c r="T40" s="8">
        <f t="shared" ref="T40:T41" si="9">SUM(P40:S40)</f>
        <v>589.5</v>
      </c>
      <c r="U40" t="str">
        <f t="shared" ref="U40:U41" si="10">IF(SUM(P40:S40)=0,"",IF(S40/SUM(P40:S40)&gt;=0.5,"Battle Royale",IF(R40/SUM(P40:R40)&gt;=0.6,"Infantry-Heavy",IF((P40+0.7*Q40)/SUM(P40:R40)&gt;=0.7,"Vehicle-Heavy","Mixed"))))</f>
        <v>Mixed</v>
      </c>
    </row>
    <row r="41" spans="1:21" x14ac:dyDescent="0.25">
      <c r="A41" t="str">
        <f>Player_Class_Profile!A41</f>
        <v>VITARTA</v>
      </c>
      <c r="B41">
        <v>397</v>
      </c>
      <c r="C41" s="7">
        <v>155</v>
      </c>
      <c r="D41" s="8">
        <v>29</v>
      </c>
      <c r="E41" s="7">
        <v>74</v>
      </c>
      <c r="F41" s="12">
        <v>7.5</v>
      </c>
      <c r="G41" s="8">
        <v>12</v>
      </c>
      <c r="H41" s="8">
        <v>16</v>
      </c>
      <c r="I41" s="8">
        <v>2.75</v>
      </c>
      <c r="J41" s="8">
        <v>135</v>
      </c>
      <c r="K41" s="8">
        <v>57</v>
      </c>
      <c r="L41" s="8">
        <v>6.25</v>
      </c>
      <c r="M41" s="8">
        <v>2.5</v>
      </c>
      <c r="N41" s="7">
        <v>3.5</v>
      </c>
      <c r="O41" s="12">
        <v>1.25</v>
      </c>
      <c r="P41" s="7">
        <f>SUM(Player_Mode_Profile!C41:D41)</f>
        <v>184</v>
      </c>
      <c r="Q41" s="8">
        <f>SUM(Player_Mode_Profile!E41:F41)</f>
        <v>81.5</v>
      </c>
      <c r="R41" s="8">
        <f>SUM(Player_Mode_Profile!G41:M41)</f>
        <v>231.5</v>
      </c>
      <c r="S41" s="8">
        <f>SUM(Player_Mode_Profile!N41:O41)</f>
        <v>4.75</v>
      </c>
      <c r="T41" s="8">
        <f t="shared" si="9"/>
        <v>501.75</v>
      </c>
      <c r="U41" t="str">
        <f t="shared" si="10"/>
        <v>Mixed</v>
      </c>
    </row>
    <row r="42" spans="1:21" x14ac:dyDescent="0.25">
      <c r="A42" t="str">
        <f>Player_Class_Profile!A42</f>
        <v>Puddy</v>
      </c>
      <c r="B42">
        <v>407</v>
      </c>
      <c r="C42" s="7">
        <v>98</v>
      </c>
      <c r="D42" s="8">
        <v>145</v>
      </c>
      <c r="E42" s="7">
        <v>206</v>
      </c>
      <c r="F42" s="12">
        <v>8</v>
      </c>
      <c r="G42" s="8">
        <v>0</v>
      </c>
      <c r="H42" s="8">
        <v>1</v>
      </c>
      <c r="I42" s="8">
        <v>0.5</v>
      </c>
      <c r="J42" s="8">
        <v>0.5</v>
      </c>
      <c r="K42" s="8">
        <v>2.5</v>
      </c>
      <c r="L42" s="8">
        <v>12</v>
      </c>
      <c r="M42" s="8">
        <v>1.25</v>
      </c>
      <c r="N42" s="7">
        <v>0</v>
      </c>
      <c r="O42" s="12">
        <v>0.25</v>
      </c>
      <c r="P42" s="7">
        <f>SUM(Player_Mode_Profile!C42:D42)</f>
        <v>243</v>
      </c>
      <c r="Q42" s="8">
        <f>SUM(Player_Mode_Profile!E42:F42)</f>
        <v>214</v>
      </c>
      <c r="R42" s="8">
        <f>SUM(Player_Mode_Profile!G42:M42)</f>
        <v>17.75</v>
      </c>
      <c r="S42" s="8">
        <f>SUM(Player_Mode_Profile!N42:O42)</f>
        <v>0.25</v>
      </c>
      <c r="T42" s="8">
        <f t="shared" ref="T42:T51" si="11">SUM(P42:S42)</f>
        <v>475</v>
      </c>
      <c r="U42" t="str">
        <f t="shared" ref="U42:U51" si="12">IF(SUM(P42:S42)=0,"",IF(S42/SUM(P42:S42)&gt;=0.5,"Battle Royale",IF(R42/SUM(P42:R42)&gt;=0.6,"Infantry-Heavy",IF((P42+0.7*Q42)/SUM(P42:R42)&gt;=0.7,"Vehicle-Heavy","Mixed"))))</f>
        <v>Vehicle-Heavy</v>
      </c>
    </row>
    <row r="43" spans="1:21" x14ac:dyDescent="0.25">
      <c r="A43" t="str">
        <f>Player_Class_Profile!A43</f>
        <v>LtFrankDrebiin</v>
      </c>
      <c r="B43">
        <v>417</v>
      </c>
      <c r="C43" s="7">
        <v>117</v>
      </c>
      <c r="D43" s="8">
        <v>231</v>
      </c>
      <c r="E43" s="7">
        <v>30</v>
      </c>
      <c r="F43" s="12">
        <v>5.5</v>
      </c>
      <c r="G43" s="8">
        <v>6.5</v>
      </c>
      <c r="H43" s="8">
        <v>3.75</v>
      </c>
      <c r="I43" s="8">
        <v>1.75</v>
      </c>
      <c r="J43" s="8">
        <v>13</v>
      </c>
      <c r="K43" s="8">
        <v>40</v>
      </c>
      <c r="L43" s="8">
        <v>35</v>
      </c>
      <c r="M43" s="8">
        <v>2.25</v>
      </c>
      <c r="N43" s="7">
        <v>1.25</v>
      </c>
      <c r="O43" s="12">
        <v>37</v>
      </c>
      <c r="P43" s="7">
        <f>SUM(Player_Mode_Profile!C43:D43)</f>
        <v>348</v>
      </c>
      <c r="Q43" s="8">
        <f>SUM(Player_Mode_Profile!E43:F43)</f>
        <v>35.5</v>
      </c>
      <c r="R43" s="8">
        <f>SUM(Player_Mode_Profile!G43:M43)</f>
        <v>102.25</v>
      </c>
      <c r="S43" s="8">
        <f>SUM(Player_Mode_Profile!N43:O43)</f>
        <v>38.25</v>
      </c>
      <c r="T43" s="8">
        <f t="shared" si="11"/>
        <v>524</v>
      </c>
      <c r="U43" t="str">
        <f t="shared" si="12"/>
        <v>Vehicle-Heavy</v>
      </c>
    </row>
    <row r="44" spans="1:21" x14ac:dyDescent="0.25">
      <c r="A44" t="str">
        <f>Player_Class_Profile!A44</f>
        <v>Ambrokinarrow</v>
      </c>
      <c r="B44">
        <v>427</v>
      </c>
      <c r="C44" s="7">
        <v>55</v>
      </c>
      <c r="D44" s="8">
        <v>9.25</v>
      </c>
      <c r="E44" s="7">
        <v>54</v>
      </c>
      <c r="F44" s="12">
        <v>5.75</v>
      </c>
      <c r="G44" s="8">
        <v>4</v>
      </c>
      <c r="H44" s="8">
        <v>1.75</v>
      </c>
      <c r="I44" s="8">
        <v>1.5</v>
      </c>
      <c r="J44" s="8">
        <v>0</v>
      </c>
      <c r="K44" s="8">
        <v>163</v>
      </c>
      <c r="L44" s="8">
        <v>20</v>
      </c>
      <c r="M44" s="8">
        <v>5</v>
      </c>
      <c r="N44" s="7">
        <v>0</v>
      </c>
      <c r="O44" s="12">
        <v>0</v>
      </c>
      <c r="P44" s="7">
        <f>SUM(Player_Mode_Profile!C44:D44)</f>
        <v>64.25</v>
      </c>
      <c r="Q44" s="8">
        <f>SUM(Player_Mode_Profile!E44:F44)</f>
        <v>59.75</v>
      </c>
      <c r="R44" s="8">
        <f>SUM(Player_Mode_Profile!G44:M44)</f>
        <v>195.25</v>
      </c>
      <c r="S44" s="8">
        <f>SUM(Player_Mode_Profile!N44:O44)</f>
        <v>0</v>
      </c>
      <c r="T44" s="8">
        <f t="shared" si="11"/>
        <v>319.25</v>
      </c>
      <c r="U44" t="str">
        <f t="shared" si="12"/>
        <v>Infantry-Heavy</v>
      </c>
    </row>
    <row r="45" spans="1:21" x14ac:dyDescent="0.25">
      <c r="A45" t="str">
        <f>Player_Class_Profile!A45</f>
        <v>heroic_her0ooo</v>
      </c>
      <c r="B45">
        <v>437</v>
      </c>
      <c r="C45" s="7">
        <v>134</v>
      </c>
      <c r="D45" s="8">
        <v>134</v>
      </c>
      <c r="E45" s="7">
        <v>324</v>
      </c>
      <c r="F45" s="12">
        <v>3.5</v>
      </c>
      <c r="G45" s="8">
        <v>3.5</v>
      </c>
      <c r="H45" s="8">
        <v>1.75</v>
      </c>
      <c r="I45" s="8">
        <v>0.75</v>
      </c>
      <c r="J45" s="8">
        <v>7.25</v>
      </c>
      <c r="K45" s="8">
        <v>2.75</v>
      </c>
      <c r="L45" s="8">
        <v>4.75</v>
      </c>
      <c r="M45" s="8">
        <v>1.75</v>
      </c>
      <c r="N45" s="7">
        <v>11.5</v>
      </c>
      <c r="O45" s="12">
        <v>3</v>
      </c>
      <c r="P45" s="7">
        <f>SUM(Player_Mode_Profile!C45:D45)</f>
        <v>268</v>
      </c>
      <c r="Q45" s="8">
        <f>SUM(Player_Mode_Profile!E45:F45)</f>
        <v>327.5</v>
      </c>
      <c r="R45" s="8">
        <f>SUM(Player_Mode_Profile!G45:M45)</f>
        <v>22.5</v>
      </c>
      <c r="S45" s="8">
        <f>SUM(Player_Mode_Profile!N45:O45)</f>
        <v>14.5</v>
      </c>
      <c r="T45" s="8">
        <f t="shared" si="11"/>
        <v>632.5</v>
      </c>
      <c r="U45" t="str">
        <f t="shared" si="12"/>
        <v>Vehicle-Heavy</v>
      </c>
    </row>
    <row r="46" spans="1:21" x14ac:dyDescent="0.25">
      <c r="A46" t="str">
        <f>Player_Class_Profile!A46</f>
        <v>MICHEL_Bagual</v>
      </c>
      <c r="B46">
        <v>447</v>
      </c>
      <c r="C46" s="7">
        <v>26</v>
      </c>
      <c r="D46" s="8">
        <v>8</v>
      </c>
      <c r="E46" s="7">
        <v>93</v>
      </c>
      <c r="F46" s="12">
        <v>4.25</v>
      </c>
      <c r="G46" s="8">
        <v>11.25</v>
      </c>
      <c r="H46" s="8">
        <v>5.5</v>
      </c>
      <c r="I46" s="8">
        <v>3</v>
      </c>
      <c r="J46" s="8">
        <v>319</v>
      </c>
      <c r="K46" s="8">
        <v>7.25</v>
      </c>
      <c r="L46" s="8">
        <v>8.5</v>
      </c>
      <c r="M46" s="8">
        <v>3.25</v>
      </c>
      <c r="N46" s="7">
        <v>79</v>
      </c>
      <c r="O46" s="12">
        <v>24</v>
      </c>
      <c r="P46" s="7">
        <f>SUM(Player_Mode_Profile!C46:D46)</f>
        <v>34</v>
      </c>
      <c r="Q46" s="8">
        <f>SUM(Player_Mode_Profile!E46:F46)</f>
        <v>97.25</v>
      </c>
      <c r="R46" s="8">
        <f>SUM(Player_Mode_Profile!G46:M46)</f>
        <v>357.75</v>
      </c>
      <c r="S46" s="8">
        <f>SUM(Player_Mode_Profile!N46:O46)</f>
        <v>103</v>
      </c>
      <c r="T46" s="8">
        <f t="shared" si="11"/>
        <v>592</v>
      </c>
      <c r="U46" t="str">
        <f t="shared" si="12"/>
        <v>Infantry-Heavy</v>
      </c>
    </row>
    <row r="47" spans="1:21" x14ac:dyDescent="0.25">
      <c r="A47" t="str">
        <f>Player_Class_Profile!A47</f>
        <v>DenisRezh</v>
      </c>
      <c r="B47">
        <v>457</v>
      </c>
      <c r="C47" s="7">
        <v>715</v>
      </c>
      <c r="D47" s="8">
        <v>202</v>
      </c>
      <c r="E47" s="7">
        <v>13</v>
      </c>
      <c r="F47" s="12">
        <v>4</v>
      </c>
      <c r="G47" s="8">
        <v>1</v>
      </c>
      <c r="H47" s="8">
        <v>1</v>
      </c>
      <c r="I47" s="8">
        <v>0.25</v>
      </c>
      <c r="J47" s="8">
        <v>2.5</v>
      </c>
      <c r="K47" s="8">
        <v>3</v>
      </c>
      <c r="L47" s="8">
        <v>27</v>
      </c>
      <c r="M47" s="8">
        <v>1</v>
      </c>
      <c r="N47" s="7">
        <v>4</v>
      </c>
      <c r="O47" s="12">
        <v>2.75</v>
      </c>
      <c r="P47" s="7">
        <f>SUM(Player_Mode_Profile!C47:D47)</f>
        <v>917</v>
      </c>
      <c r="Q47" s="8">
        <f>SUM(Player_Mode_Profile!E47:F47)</f>
        <v>17</v>
      </c>
      <c r="R47" s="8">
        <f>SUM(Player_Mode_Profile!G47:M47)</f>
        <v>35.75</v>
      </c>
      <c r="S47" s="8">
        <f>SUM(Player_Mode_Profile!N47:O47)</f>
        <v>6.75</v>
      </c>
      <c r="T47" s="8">
        <f t="shared" si="11"/>
        <v>976.5</v>
      </c>
      <c r="U47" t="str">
        <f t="shared" si="12"/>
        <v>Vehicle-Heavy</v>
      </c>
    </row>
    <row r="48" spans="1:21" x14ac:dyDescent="0.25">
      <c r="A48" t="str">
        <f>Player_Class_Profile!A48</f>
        <v>清蒸哈基米</v>
      </c>
      <c r="B48">
        <v>467</v>
      </c>
      <c r="C48" s="7">
        <v>244</v>
      </c>
      <c r="D48" s="8">
        <v>152</v>
      </c>
      <c r="E48" s="7">
        <v>49</v>
      </c>
      <c r="F48" s="12">
        <v>11</v>
      </c>
      <c r="G48" s="8">
        <v>0</v>
      </c>
      <c r="H48" s="8">
        <v>0</v>
      </c>
      <c r="I48" s="8">
        <v>0</v>
      </c>
      <c r="J48" s="8">
        <v>2.75</v>
      </c>
      <c r="K48" s="8">
        <v>0</v>
      </c>
      <c r="L48" s="8">
        <v>0</v>
      </c>
      <c r="M48" s="8">
        <v>0</v>
      </c>
      <c r="N48" s="7">
        <v>0</v>
      </c>
      <c r="O48" s="12">
        <v>0</v>
      </c>
      <c r="P48" s="7">
        <f>SUM(Player_Mode_Profile!C48:D48)</f>
        <v>396</v>
      </c>
      <c r="Q48" s="8">
        <f>SUM(Player_Mode_Profile!E48:F48)</f>
        <v>60</v>
      </c>
      <c r="R48" s="8">
        <f>SUM(Player_Mode_Profile!G48:M48)</f>
        <v>2.75</v>
      </c>
      <c r="S48" s="8">
        <f>SUM(Player_Mode_Profile!N48:O48)</f>
        <v>0</v>
      </c>
      <c r="T48" s="8">
        <f t="shared" si="11"/>
        <v>458.75</v>
      </c>
      <c r="U48" t="str">
        <f t="shared" si="12"/>
        <v>Vehicle-Heavy</v>
      </c>
    </row>
    <row r="49" spans="1:21" x14ac:dyDescent="0.25">
      <c r="A49" t="str">
        <f>Player_Class_Profile!A49</f>
        <v>deesmoke180</v>
      </c>
      <c r="B49">
        <v>477</v>
      </c>
      <c r="C49" s="7">
        <v>1113</v>
      </c>
      <c r="D49" s="8">
        <v>133</v>
      </c>
      <c r="E49" s="7">
        <v>70</v>
      </c>
      <c r="F49" s="12">
        <v>21</v>
      </c>
      <c r="G49" s="8">
        <v>35</v>
      </c>
      <c r="H49" s="8">
        <v>6</v>
      </c>
      <c r="I49" s="8">
        <v>3.75</v>
      </c>
      <c r="J49" s="8">
        <v>0</v>
      </c>
      <c r="K49" s="8">
        <v>46</v>
      </c>
      <c r="L49" s="8">
        <v>56</v>
      </c>
      <c r="M49" s="8">
        <v>0.25</v>
      </c>
      <c r="N49" s="7">
        <v>0</v>
      </c>
      <c r="O49" s="12">
        <v>0</v>
      </c>
      <c r="P49" s="7">
        <f>SUM(Player_Mode_Profile!C49:D49)</f>
        <v>1246</v>
      </c>
      <c r="Q49" s="8">
        <f>SUM(Player_Mode_Profile!E49:F49)</f>
        <v>91</v>
      </c>
      <c r="R49" s="8">
        <f>SUM(Player_Mode_Profile!G49:M49)</f>
        <v>147</v>
      </c>
      <c r="S49" s="8">
        <f>SUM(Player_Mode_Profile!N49:O49)</f>
        <v>0</v>
      </c>
      <c r="T49" s="8">
        <f t="shared" si="11"/>
        <v>1484</v>
      </c>
      <c r="U49" t="str">
        <f t="shared" si="12"/>
        <v>Vehicle-Heavy</v>
      </c>
    </row>
    <row r="50" spans="1:21" x14ac:dyDescent="0.25">
      <c r="A50" t="str">
        <f>Player_Class_Profile!A50</f>
        <v>Comatose615</v>
      </c>
      <c r="B50">
        <v>487</v>
      </c>
      <c r="C50" s="7">
        <v>123</v>
      </c>
      <c r="D50" s="8">
        <v>665</v>
      </c>
      <c r="E50" s="7">
        <v>153</v>
      </c>
      <c r="F50" s="12">
        <v>14</v>
      </c>
      <c r="G50" s="8">
        <v>12</v>
      </c>
      <c r="H50" s="8">
        <v>5</v>
      </c>
      <c r="I50" s="8">
        <v>2.5</v>
      </c>
      <c r="J50" s="8">
        <v>40</v>
      </c>
      <c r="K50" s="8">
        <v>5.5</v>
      </c>
      <c r="L50" s="8">
        <v>5.5</v>
      </c>
      <c r="M50" s="8">
        <v>1.75</v>
      </c>
      <c r="N50" s="7">
        <v>55</v>
      </c>
      <c r="O50" s="12">
        <v>2.5</v>
      </c>
      <c r="P50" s="7">
        <f>SUM(Player_Mode_Profile!C50:D50)</f>
        <v>788</v>
      </c>
      <c r="Q50" s="8">
        <f>SUM(Player_Mode_Profile!E50:F50)</f>
        <v>167</v>
      </c>
      <c r="R50" s="8">
        <f>SUM(Player_Mode_Profile!G50:M50)</f>
        <v>72.25</v>
      </c>
      <c r="S50" s="8">
        <f>SUM(Player_Mode_Profile!N50:O50)</f>
        <v>57.5</v>
      </c>
      <c r="T50" s="8">
        <f t="shared" si="11"/>
        <v>1084.75</v>
      </c>
      <c r="U50" t="str">
        <f t="shared" si="12"/>
        <v>Vehicle-Heavy</v>
      </c>
    </row>
    <row r="51" spans="1:21" x14ac:dyDescent="0.25">
      <c r="A51" t="str">
        <f>Player_Class_Profile!A51</f>
        <v>papablack51</v>
      </c>
      <c r="B51">
        <v>497</v>
      </c>
      <c r="C51" s="7">
        <v>33</v>
      </c>
      <c r="D51" s="8">
        <v>14</v>
      </c>
      <c r="E51" s="7">
        <v>11.5</v>
      </c>
      <c r="F51" s="12">
        <v>24</v>
      </c>
      <c r="G51" s="8">
        <v>37</v>
      </c>
      <c r="H51" s="8">
        <v>10.5</v>
      </c>
      <c r="I51" s="8">
        <v>3.5</v>
      </c>
      <c r="J51" s="8">
        <v>13</v>
      </c>
      <c r="K51" s="8">
        <v>114</v>
      </c>
      <c r="L51" s="8">
        <v>50</v>
      </c>
      <c r="M51" s="8">
        <v>3</v>
      </c>
      <c r="N51" s="7">
        <v>20</v>
      </c>
      <c r="O51" s="12">
        <v>10.5</v>
      </c>
      <c r="P51" s="7">
        <f>SUM(Player_Mode_Profile!C51:D51)</f>
        <v>47</v>
      </c>
      <c r="Q51" s="8">
        <f>SUM(Player_Mode_Profile!E51:F51)</f>
        <v>35.5</v>
      </c>
      <c r="R51" s="8">
        <f>SUM(Player_Mode_Profile!G51:M51)</f>
        <v>231</v>
      </c>
      <c r="S51" s="8">
        <f>SUM(Player_Mode_Profile!N51:O51)</f>
        <v>30.5</v>
      </c>
      <c r="T51" s="8">
        <f t="shared" si="11"/>
        <v>344</v>
      </c>
      <c r="U51" t="str">
        <f t="shared" si="12"/>
        <v>Infantry-Heavy</v>
      </c>
    </row>
    <row r="52" spans="1:21" x14ac:dyDescent="0.25">
      <c r="A52" t="str">
        <f>Player_Class_Profile!A52</f>
        <v>MiaoSangSSS</v>
      </c>
      <c r="B52">
        <v>507</v>
      </c>
      <c r="C52" s="7">
        <v>79</v>
      </c>
      <c r="D52" s="8">
        <v>79</v>
      </c>
      <c r="E52" s="7">
        <v>282</v>
      </c>
      <c r="F52" s="12">
        <v>33</v>
      </c>
      <c r="G52" s="8">
        <v>1.5</v>
      </c>
      <c r="H52" s="8">
        <v>0.5</v>
      </c>
      <c r="I52" s="8">
        <v>1</v>
      </c>
      <c r="J52" s="8">
        <v>1.75</v>
      </c>
      <c r="K52" s="8">
        <v>2.5</v>
      </c>
      <c r="L52" s="8">
        <v>2.75</v>
      </c>
      <c r="M52" s="8">
        <v>0.5</v>
      </c>
      <c r="N52" s="7">
        <v>2.5</v>
      </c>
      <c r="O52" s="12">
        <v>1.5</v>
      </c>
      <c r="P52" s="7">
        <f>SUM(Player_Mode_Profile!C52:D52)</f>
        <v>158</v>
      </c>
      <c r="Q52" s="8">
        <f>SUM(Player_Mode_Profile!E52:F52)</f>
        <v>315</v>
      </c>
      <c r="R52" s="8">
        <f>SUM(Player_Mode_Profile!G52:M52)</f>
        <v>10.5</v>
      </c>
      <c r="S52" s="8">
        <f>SUM(Player_Mode_Profile!N52:O52)</f>
        <v>4</v>
      </c>
      <c r="T52" s="8">
        <f t="shared" ref="T52:T61" si="13">SUM(P52:S52)</f>
        <v>487.5</v>
      </c>
      <c r="U52" t="str">
        <f t="shared" ref="U52:U61" si="14">IF(SUM(P52:S52)=0,"",IF(S52/SUM(P52:S52)&gt;=0.5,"Battle Royale",IF(R52/SUM(P52:R52)&gt;=0.6,"Infantry-Heavy",IF((P52+0.7*Q52)/SUM(P52:R52)&gt;=0.7,"Vehicle-Heavy","Mixed"))))</f>
        <v>Vehicle-Heavy</v>
      </c>
    </row>
    <row r="53" spans="1:21" x14ac:dyDescent="0.25">
      <c r="A53" t="str">
        <f>Player_Class_Profile!A53</f>
        <v>Parziva-l-_-l</v>
      </c>
      <c r="B53">
        <v>517</v>
      </c>
      <c r="C53" s="7">
        <v>624</v>
      </c>
      <c r="D53" s="8">
        <v>9.75</v>
      </c>
      <c r="E53" s="7">
        <v>37</v>
      </c>
      <c r="F53" s="12">
        <v>10.75</v>
      </c>
      <c r="G53" s="8">
        <v>0</v>
      </c>
      <c r="H53" s="8">
        <v>0</v>
      </c>
      <c r="I53" s="8">
        <v>0.25</v>
      </c>
      <c r="J53" s="8">
        <v>5.75</v>
      </c>
      <c r="K53" s="8">
        <v>2.25</v>
      </c>
      <c r="L53" s="8">
        <v>0.5</v>
      </c>
      <c r="M53" s="8">
        <v>2</v>
      </c>
      <c r="N53" s="7">
        <v>0.5</v>
      </c>
      <c r="O53" s="12">
        <v>0</v>
      </c>
      <c r="P53" s="7">
        <f>SUM(Player_Mode_Profile!C53:D53)</f>
        <v>633.75</v>
      </c>
      <c r="Q53" s="8">
        <f>SUM(Player_Mode_Profile!E53:F53)</f>
        <v>47.75</v>
      </c>
      <c r="R53" s="8">
        <f>SUM(Player_Mode_Profile!G53:M53)</f>
        <v>10.75</v>
      </c>
      <c r="S53" s="8">
        <f>SUM(Player_Mode_Profile!N53:O53)</f>
        <v>0.5</v>
      </c>
      <c r="T53" s="8">
        <f t="shared" si="13"/>
        <v>692.75</v>
      </c>
      <c r="U53" t="str">
        <f t="shared" si="14"/>
        <v>Vehicle-Heavy</v>
      </c>
    </row>
    <row r="54" spans="1:21" x14ac:dyDescent="0.25">
      <c r="A54" t="str">
        <f>Player_Class_Profile!A54</f>
        <v>ValarMorghulis49</v>
      </c>
      <c r="B54">
        <v>527</v>
      </c>
      <c r="C54" s="7">
        <v>7</v>
      </c>
      <c r="D54" s="8">
        <v>6.5</v>
      </c>
      <c r="E54" s="7">
        <v>130</v>
      </c>
      <c r="F54" s="12">
        <v>264</v>
      </c>
      <c r="G54" s="8">
        <v>2.75</v>
      </c>
      <c r="H54" s="8">
        <v>1.75</v>
      </c>
      <c r="I54" s="8">
        <v>0.25</v>
      </c>
      <c r="J54" s="8">
        <v>0</v>
      </c>
      <c r="K54" s="8">
        <v>1.75</v>
      </c>
      <c r="L54" s="8">
        <v>2.5</v>
      </c>
      <c r="M54" s="8">
        <v>2</v>
      </c>
      <c r="N54" s="7">
        <v>1</v>
      </c>
      <c r="O54" s="12">
        <v>0</v>
      </c>
      <c r="P54" s="7">
        <f>SUM(Player_Mode_Profile!C54:D54)</f>
        <v>13.5</v>
      </c>
      <c r="Q54" s="8">
        <f>SUM(Player_Mode_Profile!E54:F54)</f>
        <v>394</v>
      </c>
      <c r="R54" s="8">
        <f>SUM(Player_Mode_Profile!G54:M54)</f>
        <v>11</v>
      </c>
      <c r="S54" s="8">
        <f>SUM(Player_Mode_Profile!N54:O54)</f>
        <v>1</v>
      </c>
      <c r="T54" s="8">
        <f t="shared" si="13"/>
        <v>419.5</v>
      </c>
      <c r="U54" t="str">
        <f t="shared" si="14"/>
        <v>Mixed</v>
      </c>
    </row>
    <row r="55" spans="1:21" x14ac:dyDescent="0.25">
      <c r="A55" t="str">
        <f>Player_Class_Profile!A55</f>
        <v>Steffy-_Errote_-</v>
      </c>
      <c r="B55">
        <v>537</v>
      </c>
      <c r="C55" s="7">
        <v>460</v>
      </c>
      <c r="D55" s="8">
        <v>8</v>
      </c>
      <c r="E55" s="7">
        <v>8</v>
      </c>
      <c r="F55" s="12">
        <v>1.5</v>
      </c>
      <c r="G55" s="8">
        <v>2.75</v>
      </c>
      <c r="H55" s="8">
        <v>1.25</v>
      </c>
      <c r="I55" s="8">
        <v>0</v>
      </c>
      <c r="J55" s="8">
        <v>1.75</v>
      </c>
      <c r="K55" s="8">
        <v>4.25</v>
      </c>
      <c r="L55" s="8">
        <v>0.25</v>
      </c>
      <c r="M55" s="8">
        <v>1</v>
      </c>
      <c r="N55" s="7">
        <v>3</v>
      </c>
      <c r="O55" s="12">
        <v>2.5</v>
      </c>
      <c r="P55" s="7">
        <f>SUM(Player_Mode_Profile!C55:D55)</f>
        <v>468</v>
      </c>
      <c r="Q55" s="8">
        <f>SUM(Player_Mode_Profile!E55:F55)</f>
        <v>9.5</v>
      </c>
      <c r="R55" s="8">
        <f>SUM(Player_Mode_Profile!G55:M55)</f>
        <v>11.25</v>
      </c>
      <c r="S55" s="8">
        <f>SUM(Player_Mode_Profile!N55:O55)</f>
        <v>5.5</v>
      </c>
      <c r="T55" s="8">
        <f t="shared" si="13"/>
        <v>494.25</v>
      </c>
      <c r="U55" t="str">
        <f t="shared" si="14"/>
        <v>Vehicle-Heavy</v>
      </c>
    </row>
    <row r="56" spans="1:21" x14ac:dyDescent="0.25">
      <c r="A56" t="str">
        <f>Player_Class_Profile!A56</f>
        <v>phillymidnight</v>
      </c>
      <c r="B56">
        <v>547</v>
      </c>
      <c r="C56" s="7">
        <v>571</v>
      </c>
      <c r="D56" s="8">
        <v>3</v>
      </c>
      <c r="E56" s="7">
        <v>41</v>
      </c>
      <c r="F56" s="12">
        <v>0</v>
      </c>
      <c r="G56" s="8">
        <v>4.5</v>
      </c>
      <c r="H56" s="8">
        <v>0.5</v>
      </c>
      <c r="I56" s="8">
        <v>0</v>
      </c>
      <c r="J56" s="8">
        <v>0</v>
      </c>
      <c r="K56" s="8">
        <v>6.25</v>
      </c>
      <c r="L56" s="8">
        <v>0.25</v>
      </c>
      <c r="M56" s="8">
        <v>0</v>
      </c>
      <c r="N56" s="7">
        <v>18</v>
      </c>
      <c r="O56" s="12">
        <v>9.75</v>
      </c>
      <c r="P56" s="7">
        <f>SUM(Player_Mode_Profile!C56:D56)</f>
        <v>574</v>
      </c>
      <c r="Q56" s="8">
        <f>SUM(Player_Mode_Profile!E56:F56)</f>
        <v>41</v>
      </c>
      <c r="R56" s="8">
        <f>SUM(Player_Mode_Profile!G56:M56)</f>
        <v>11.5</v>
      </c>
      <c r="S56" s="8">
        <f>SUM(Player_Mode_Profile!N56:O56)</f>
        <v>27.75</v>
      </c>
      <c r="T56" s="8">
        <f t="shared" si="13"/>
        <v>654.25</v>
      </c>
      <c r="U56" t="str">
        <f t="shared" si="14"/>
        <v>Vehicle-Heavy</v>
      </c>
    </row>
    <row r="57" spans="1:21" x14ac:dyDescent="0.25">
      <c r="A57" t="str">
        <f>Player_Class_Profile!A57</f>
        <v>ZachAttack9041</v>
      </c>
      <c r="B57">
        <v>557</v>
      </c>
      <c r="C57" s="7">
        <v>349</v>
      </c>
      <c r="D57" s="8">
        <v>11</v>
      </c>
      <c r="E57" s="7">
        <v>44</v>
      </c>
      <c r="F57" s="12">
        <v>0.5</v>
      </c>
      <c r="G57" s="8">
        <v>1</v>
      </c>
      <c r="H57" s="8">
        <v>0.25</v>
      </c>
      <c r="I57" s="8">
        <v>0</v>
      </c>
      <c r="J57" s="8">
        <v>0.5</v>
      </c>
      <c r="K57" s="8">
        <v>2.5</v>
      </c>
      <c r="L57" s="8">
        <v>3</v>
      </c>
      <c r="M57" s="8">
        <v>0</v>
      </c>
      <c r="N57" s="7">
        <v>0.75</v>
      </c>
      <c r="O57" s="12">
        <v>0.25</v>
      </c>
      <c r="P57" s="7">
        <f>SUM(Player_Mode_Profile!C57:D57)</f>
        <v>360</v>
      </c>
      <c r="Q57" s="8">
        <f>SUM(Player_Mode_Profile!E57:F57)</f>
        <v>44.5</v>
      </c>
      <c r="R57" s="8">
        <f>SUM(Player_Mode_Profile!G57:M57)</f>
        <v>7.25</v>
      </c>
      <c r="S57" s="8">
        <f>SUM(Player_Mode_Profile!N57:O57)</f>
        <v>1</v>
      </c>
      <c r="T57" s="8">
        <f t="shared" si="13"/>
        <v>412.75</v>
      </c>
      <c r="U57" t="str">
        <f t="shared" si="14"/>
        <v>Vehicle-Heavy</v>
      </c>
    </row>
    <row r="58" spans="1:21" x14ac:dyDescent="0.25">
      <c r="A58" t="str">
        <f>Player_Class_Profile!A58</f>
        <v>xW1cKeDxHIGH420</v>
      </c>
      <c r="B58">
        <v>567</v>
      </c>
      <c r="C58" s="7">
        <v>244</v>
      </c>
      <c r="D58" s="8">
        <v>127</v>
      </c>
      <c r="E58" s="7">
        <v>67</v>
      </c>
      <c r="F58" s="12">
        <v>9.25</v>
      </c>
      <c r="G58" s="8">
        <v>1.5</v>
      </c>
      <c r="H58" s="8">
        <v>1.5</v>
      </c>
      <c r="I58" s="8">
        <v>0.25</v>
      </c>
      <c r="J58" s="8">
        <v>2.5</v>
      </c>
      <c r="K58" s="8">
        <v>5</v>
      </c>
      <c r="L58" s="8">
        <v>3.25</v>
      </c>
      <c r="M58" s="8">
        <v>1.5</v>
      </c>
      <c r="N58" s="7">
        <v>97</v>
      </c>
      <c r="O58" s="12">
        <v>2.5</v>
      </c>
      <c r="P58" s="7">
        <f>SUM(Player_Mode_Profile!C58:D58)</f>
        <v>371</v>
      </c>
      <c r="Q58" s="8">
        <f>SUM(Player_Mode_Profile!E58:F58)</f>
        <v>76.25</v>
      </c>
      <c r="R58" s="8">
        <f>SUM(Player_Mode_Profile!G58:M58)</f>
        <v>15.5</v>
      </c>
      <c r="S58" s="8">
        <f>SUM(Player_Mode_Profile!N58:O58)</f>
        <v>99.5</v>
      </c>
      <c r="T58" s="8">
        <f t="shared" si="13"/>
        <v>562.25</v>
      </c>
      <c r="U58" t="str">
        <f t="shared" si="14"/>
        <v>Vehicle-Heavy</v>
      </c>
    </row>
    <row r="59" spans="1:21" x14ac:dyDescent="0.25">
      <c r="A59" t="str">
        <f>Player_Class_Profile!A59</f>
        <v>Bally-Bola</v>
      </c>
      <c r="B59">
        <v>577</v>
      </c>
      <c r="C59" s="7">
        <v>109</v>
      </c>
      <c r="D59" s="8">
        <v>22</v>
      </c>
      <c r="E59" s="7">
        <v>47</v>
      </c>
      <c r="F59" s="12">
        <v>18</v>
      </c>
      <c r="G59" s="8">
        <v>52</v>
      </c>
      <c r="H59" s="8">
        <v>23</v>
      </c>
      <c r="I59" s="8">
        <v>7.75</v>
      </c>
      <c r="J59" s="8">
        <v>173</v>
      </c>
      <c r="K59" s="8">
        <v>129</v>
      </c>
      <c r="L59" s="8">
        <v>62</v>
      </c>
      <c r="M59" s="8">
        <v>0.25</v>
      </c>
      <c r="N59" s="7">
        <v>38</v>
      </c>
      <c r="O59" s="12">
        <v>4.5</v>
      </c>
      <c r="P59" s="7">
        <f>SUM(Player_Mode_Profile!C59:D59)</f>
        <v>131</v>
      </c>
      <c r="Q59" s="8">
        <f>SUM(Player_Mode_Profile!E59:F59)</f>
        <v>65</v>
      </c>
      <c r="R59" s="8">
        <f>SUM(Player_Mode_Profile!G59:M59)</f>
        <v>447</v>
      </c>
      <c r="S59" s="8">
        <f>SUM(Player_Mode_Profile!N59:O59)</f>
        <v>42.5</v>
      </c>
      <c r="T59" s="8">
        <f t="shared" si="13"/>
        <v>685.5</v>
      </c>
      <c r="U59" t="str">
        <f t="shared" si="14"/>
        <v>Infantry-Heavy</v>
      </c>
    </row>
    <row r="60" spans="1:21" x14ac:dyDescent="0.25">
      <c r="A60" t="str">
        <f>Player_Class_Profile!A60</f>
        <v>delfpz</v>
      </c>
      <c r="B60">
        <v>587</v>
      </c>
      <c r="C60" s="7">
        <v>22</v>
      </c>
      <c r="D60" s="8">
        <v>11.25</v>
      </c>
      <c r="E60" s="7">
        <v>376</v>
      </c>
      <c r="F60" s="12">
        <v>1</v>
      </c>
      <c r="G60" s="8">
        <v>1</v>
      </c>
      <c r="H60" s="8">
        <v>0.25</v>
      </c>
      <c r="I60" s="8">
        <v>0</v>
      </c>
      <c r="J60" s="8">
        <v>1.25</v>
      </c>
      <c r="K60" s="8">
        <v>11.75</v>
      </c>
      <c r="L60" s="8">
        <v>13</v>
      </c>
      <c r="M60" s="8">
        <v>1.25</v>
      </c>
      <c r="N60" s="7">
        <v>0</v>
      </c>
      <c r="O60" s="12">
        <v>0.5</v>
      </c>
      <c r="P60" s="7">
        <f>SUM(Player_Mode_Profile!C60:D60)</f>
        <v>33.25</v>
      </c>
      <c r="Q60" s="8">
        <f>SUM(Player_Mode_Profile!E60:F60)</f>
        <v>377</v>
      </c>
      <c r="R60" s="8">
        <f>SUM(Player_Mode_Profile!G60:M60)</f>
        <v>28.5</v>
      </c>
      <c r="S60" s="8">
        <f>SUM(Player_Mode_Profile!N60:O60)</f>
        <v>0.5</v>
      </c>
      <c r="T60" s="8">
        <f t="shared" si="13"/>
        <v>439.25</v>
      </c>
      <c r="U60" t="str">
        <f t="shared" si="14"/>
        <v>Mixed</v>
      </c>
    </row>
    <row r="61" spans="1:21" x14ac:dyDescent="0.25">
      <c r="A61" t="str">
        <f>Player_Class_Profile!A61</f>
        <v>Mad Zar</v>
      </c>
      <c r="B61">
        <v>597</v>
      </c>
      <c r="C61" s="7">
        <v>180</v>
      </c>
      <c r="D61" s="8">
        <v>179</v>
      </c>
      <c r="E61" s="7">
        <v>151</v>
      </c>
      <c r="F61" s="12">
        <v>10.75</v>
      </c>
      <c r="G61" s="8">
        <v>5.5</v>
      </c>
      <c r="H61" s="8">
        <v>4.75</v>
      </c>
      <c r="I61" s="8">
        <v>1</v>
      </c>
      <c r="J61" s="8">
        <v>31</v>
      </c>
      <c r="K61" s="8">
        <v>9.25</v>
      </c>
      <c r="L61" s="8">
        <v>6.5</v>
      </c>
      <c r="M61" s="8">
        <v>1.5</v>
      </c>
      <c r="N61" s="7">
        <v>4.25</v>
      </c>
      <c r="O61" s="12">
        <v>35</v>
      </c>
      <c r="P61" s="7">
        <f>SUM(Player_Mode_Profile!C61:D61)</f>
        <v>359</v>
      </c>
      <c r="Q61" s="8">
        <f>SUM(Player_Mode_Profile!E61:F61)</f>
        <v>161.75</v>
      </c>
      <c r="R61" s="8">
        <f>SUM(Player_Mode_Profile!G61:M61)</f>
        <v>59.5</v>
      </c>
      <c r="S61" s="8">
        <f>SUM(Player_Mode_Profile!N61:O61)</f>
        <v>39.25</v>
      </c>
      <c r="T61" s="8">
        <f t="shared" si="13"/>
        <v>619.5</v>
      </c>
      <c r="U61" t="str">
        <f t="shared" si="14"/>
        <v>Vehicle-Heavy</v>
      </c>
    </row>
    <row r="62" spans="1:21" x14ac:dyDescent="0.25">
      <c r="A62" t="str">
        <f>Player_Class_Profile!A62</f>
        <v>RemTozKi</v>
      </c>
      <c r="B62">
        <v>607</v>
      </c>
      <c r="C62" s="7">
        <v>360</v>
      </c>
      <c r="D62" s="8">
        <v>172</v>
      </c>
      <c r="E62" s="7">
        <v>53</v>
      </c>
      <c r="F62" s="12">
        <v>1.75</v>
      </c>
      <c r="G62" s="8">
        <v>0.75</v>
      </c>
      <c r="H62" s="8">
        <v>0</v>
      </c>
      <c r="I62" s="8">
        <v>1.5</v>
      </c>
      <c r="J62" s="8">
        <v>9.75</v>
      </c>
      <c r="K62" s="8">
        <v>7.75</v>
      </c>
      <c r="L62" s="8">
        <v>8.75</v>
      </c>
      <c r="M62" s="8">
        <v>5.25</v>
      </c>
      <c r="N62" s="7">
        <v>16</v>
      </c>
      <c r="O62" s="12">
        <v>4.75</v>
      </c>
      <c r="P62" s="7">
        <f>SUM(Player_Mode_Profile!C62:D62)</f>
        <v>532</v>
      </c>
      <c r="Q62" s="8">
        <f>SUM(Player_Mode_Profile!E62:F62)</f>
        <v>54.75</v>
      </c>
      <c r="R62" s="8">
        <f>SUM(Player_Mode_Profile!G62:M62)</f>
        <v>33.75</v>
      </c>
      <c r="S62" s="8">
        <f>SUM(Player_Mode_Profile!N62:O62)</f>
        <v>20.75</v>
      </c>
      <c r="T62" s="8">
        <f t="shared" ref="T62:T71" si="15">SUM(P62:S62)</f>
        <v>641.25</v>
      </c>
      <c r="U62" t="str">
        <f t="shared" ref="U62:U71" si="16">IF(SUM(P62:S62)=0,"",IF(S62/SUM(P62:S62)&gt;=0.5,"Battle Royale",IF(R62/SUM(P62:R62)&gt;=0.6,"Infantry-Heavy",IF((P62+0.7*Q62)/SUM(P62:R62)&gt;=0.7,"Vehicle-Heavy","Mixed"))))</f>
        <v>Vehicle-Heavy</v>
      </c>
    </row>
    <row r="63" spans="1:21" x14ac:dyDescent="0.25">
      <c r="A63" t="str">
        <f>Player_Class_Profile!A63</f>
        <v>Ambitious_destro</v>
      </c>
      <c r="B63">
        <v>617</v>
      </c>
      <c r="C63" s="7">
        <v>615</v>
      </c>
      <c r="D63" s="8">
        <v>110</v>
      </c>
      <c r="E63" s="7">
        <v>74</v>
      </c>
      <c r="F63" s="12">
        <v>0</v>
      </c>
      <c r="G63" s="8">
        <v>0.5</v>
      </c>
      <c r="H63" s="8">
        <v>0</v>
      </c>
      <c r="I63" s="8">
        <v>0</v>
      </c>
      <c r="J63" s="8">
        <v>1</v>
      </c>
      <c r="K63" s="8">
        <v>0</v>
      </c>
      <c r="L63" s="8">
        <v>0.75</v>
      </c>
      <c r="M63" s="8">
        <v>0</v>
      </c>
      <c r="N63" s="7">
        <v>0</v>
      </c>
      <c r="O63" s="12">
        <v>0</v>
      </c>
      <c r="P63" s="7">
        <f>SUM(Player_Mode_Profile!C63:D63)</f>
        <v>725</v>
      </c>
      <c r="Q63" s="8">
        <f>SUM(Player_Mode_Profile!E63:F63)</f>
        <v>74</v>
      </c>
      <c r="R63" s="8">
        <f>SUM(Player_Mode_Profile!G63:M63)</f>
        <v>2.25</v>
      </c>
      <c r="S63" s="8">
        <f>SUM(Player_Mode_Profile!N63:O63)</f>
        <v>0</v>
      </c>
      <c r="T63" s="8">
        <f t="shared" si="15"/>
        <v>801.25</v>
      </c>
      <c r="U63" t="str">
        <f t="shared" si="16"/>
        <v>Vehicle-Heavy</v>
      </c>
    </row>
    <row r="64" spans="1:21" x14ac:dyDescent="0.25">
      <c r="A64" t="str">
        <f>Player_Class_Profile!A64</f>
        <v>avengerhawk</v>
      </c>
      <c r="B64">
        <v>627</v>
      </c>
      <c r="C64" s="7">
        <v>1.25</v>
      </c>
      <c r="D64" s="8">
        <v>0.25</v>
      </c>
      <c r="E64" s="7">
        <v>377</v>
      </c>
      <c r="F64" s="12">
        <v>2.75</v>
      </c>
      <c r="G64" s="8">
        <v>1.25</v>
      </c>
      <c r="H64" s="8">
        <v>0</v>
      </c>
      <c r="I64" s="8">
        <v>0</v>
      </c>
      <c r="J64" s="8">
        <v>2.75</v>
      </c>
      <c r="K64" s="8">
        <v>0.5</v>
      </c>
      <c r="L64" s="8">
        <v>0</v>
      </c>
      <c r="M64" s="8">
        <v>0.75</v>
      </c>
      <c r="N64" s="7">
        <v>0.75</v>
      </c>
      <c r="O64" s="12">
        <v>0</v>
      </c>
      <c r="P64" s="7">
        <f>SUM(Player_Mode_Profile!C64:D64)</f>
        <v>1.5</v>
      </c>
      <c r="Q64" s="8">
        <f>SUM(Player_Mode_Profile!E64:F64)</f>
        <v>379.75</v>
      </c>
      <c r="R64" s="8">
        <f>SUM(Player_Mode_Profile!G64:M64)</f>
        <v>5.25</v>
      </c>
      <c r="S64" s="8">
        <f>SUM(Player_Mode_Profile!N64:O64)</f>
        <v>0.75</v>
      </c>
      <c r="T64" s="8">
        <f t="shared" si="15"/>
        <v>387.25</v>
      </c>
      <c r="U64" t="str">
        <f t="shared" si="16"/>
        <v>Mixed</v>
      </c>
    </row>
    <row r="65" spans="1:21" x14ac:dyDescent="0.25">
      <c r="A65" t="str">
        <f>Player_Class_Profile!A65</f>
        <v>sums</v>
      </c>
      <c r="B65">
        <v>637</v>
      </c>
      <c r="C65" s="7">
        <v>45</v>
      </c>
      <c r="D65" s="8">
        <v>17</v>
      </c>
      <c r="E65" s="7">
        <v>202</v>
      </c>
      <c r="F65" s="12">
        <v>33</v>
      </c>
      <c r="G65" s="8">
        <v>3.5</v>
      </c>
      <c r="H65" s="8">
        <v>1.5</v>
      </c>
      <c r="I65" s="8">
        <v>1.5</v>
      </c>
      <c r="J65" s="8">
        <v>1</v>
      </c>
      <c r="K65" s="8">
        <v>92</v>
      </c>
      <c r="L65" s="8">
        <v>36</v>
      </c>
      <c r="M65" s="8">
        <v>10.75</v>
      </c>
      <c r="N65" s="7">
        <v>31</v>
      </c>
      <c r="O65" s="12">
        <v>3.75</v>
      </c>
      <c r="P65" s="7">
        <f>SUM(Player_Mode_Profile!C65:D65)</f>
        <v>62</v>
      </c>
      <c r="Q65" s="8">
        <f>SUM(Player_Mode_Profile!E65:F65)</f>
        <v>235</v>
      </c>
      <c r="R65" s="8">
        <f>SUM(Player_Mode_Profile!G65:M65)</f>
        <v>146.25</v>
      </c>
      <c r="S65" s="8">
        <f>SUM(Player_Mode_Profile!N65:O65)</f>
        <v>34.75</v>
      </c>
      <c r="T65" s="8">
        <f t="shared" si="15"/>
        <v>478</v>
      </c>
      <c r="U65" t="str">
        <f t="shared" si="16"/>
        <v>Mixed</v>
      </c>
    </row>
    <row r="66" spans="1:21" x14ac:dyDescent="0.25">
      <c r="A66" t="str">
        <f>Player_Class_Profile!A66</f>
        <v>GML1977</v>
      </c>
      <c r="B66">
        <v>647</v>
      </c>
      <c r="C66" s="7">
        <v>528</v>
      </c>
      <c r="D66" s="8">
        <v>3</v>
      </c>
      <c r="E66" s="7">
        <v>2.75</v>
      </c>
      <c r="F66" s="12">
        <v>0.5</v>
      </c>
      <c r="G66" s="8">
        <v>3.75</v>
      </c>
      <c r="H66" s="8">
        <v>0.5</v>
      </c>
      <c r="I66" s="8">
        <v>1.5</v>
      </c>
      <c r="J66" s="8">
        <v>2</v>
      </c>
      <c r="K66" s="8">
        <v>3</v>
      </c>
      <c r="L66" s="8">
        <v>0</v>
      </c>
      <c r="M66" s="8">
        <v>1.5</v>
      </c>
      <c r="N66" s="7">
        <v>16</v>
      </c>
      <c r="O66" s="12">
        <v>2</v>
      </c>
      <c r="P66" s="7">
        <f>SUM(Player_Mode_Profile!C66:D66)</f>
        <v>531</v>
      </c>
      <c r="Q66" s="8">
        <f>SUM(Player_Mode_Profile!E66:F66)</f>
        <v>3.25</v>
      </c>
      <c r="R66" s="8">
        <f>SUM(Player_Mode_Profile!G66:M66)</f>
        <v>12.25</v>
      </c>
      <c r="S66" s="8">
        <f>SUM(Player_Mode_Profile!N66:O66)</f>
        <v>18</v>
      </c>
      <c r="T66" s="8">
        <f t="shared" si="15"/>
        <v>564.5</v>
      </c>
      <c r="U66" t="str">
        <f t="shared" si="16"/>
        <v>Vehicle-Heavy</v>
      </c>
    </row>
    <row r="67" spans="1:21" x14ac:dyDescent="0.25">
      <c r="A67" t="str">
        <f>Player_Class_Profile!A67</f>
        <v>XxUN7OUCHA8L3xX</v>
      </c>
      <c r="B67">
        <v>657</v>
      </c>
      <c r="C67" s="7">
        <v>31</v>
      </c>
      <c r="D67" s="8">
        <v>21</v>
      </c>
      <c r="E67" s="7">
        <v>46</v>
      </c>
      <c r="F67" s="12">
        <v>120</v>
      </c>
      <c r="G67" s="8">
        <v>41</v>
      </c>
      <c r="H67" s="8">
        <v>19</v>
      </c>
      <c r="I67" s="8">
        <v>23</v>
      </c>
      <c r="J67" s="8">
        <v>0.5</v>
      </c>
      <c r="K67" s="8">
        <v>10.75</v>
      </c>
      <c r="L67" s="8">
        <v>11.5</v>
      </c>
      <c r="M67" s="8">
        <v>0</v>
      </c>
      <c r="N67" s="7">
        <v>1.75</v>
      </c>
      <c r="O67" s="12">
        <v>0.25</v>
      </c>
      <c r="P67" s="7">
        <f>SUM(Player_Mode_Profile!C67:D67)</f>
        <v>52</v>
      </c>
      <c r="Q67" s="8">
        <f>SUM(Player_Mode_Profile!E67:F67)</f>
        <v>166</v>
      </c>
      <c r="R67" s="8">
        <f>SUM(Player_Mode_Profile!G67:M67)</f>
        <v>105.75</v>
      </c>
      <c r="S67" s="8">
        <f>SUM(Player_Mode_Profile!N67:O67)</f>
        <v>2</v>
      </c>
      <c r="T67" s="8">
        <f t="shared" si="15"/>
        <v>325.75</v>
      </c>
      <c r="U67" t="str">
        <f t="shared" si="16"/>
        <v>Mixed</v>
      </c>
    </row>
    <row r="68" spans="1:21" x14ac:dyDescent="0.25">
      <c r="A68" t="str">
        <f>Player_Class_Profile!A68</f>
        <v>Unkizz</v>
      </c>
      <c r="B68">
        <v>667</v>
      </c>
      <c r="C68" s="7">
        <v>329</v>
      </c>
      <c r="D68" s="8">
        <v>98</v>
      </c>
      <c r="E68" s="7">
        <v>100</v>
      </c>
      <c r="F68" s="12">
        <v>13</v>
      </c>
      <c r="G68" s="8">
        <v>1.75</v>
      </c>
      <c r="H68" s="8">
        <v>0.5</v>
      </c>
      <c r="I68" s="8">
        <v>1.75</v>
      </c>
      <c r="J68" s="8">
        <v>5.5</v>
      </c>
      <c r="K68" s="8">
        <v>4</v>
      </c>
      <c r="L68" s="8">
        <v>5.5</v>
      </c>
      <c r="M68" s="8">
        <v>1</v>
      </c>
      <c r="N68" s="7">
        <v>3.5</v>
      </c>
      <c r="O68" s="12">
        <v>2.5</v>
      </c>
      <c r="P68" s="7">
        <f>SUM(Player_Mode_Profile!C68:D68)</f>
        <v>427</v>
      </c>
      <c r="Q68" s="8">
        <f>SUM(Player_Mode_Profile!E68:F68)</f>
        <v>113</v>
      </c>
      <c r="R68" s="8">
        <f>SUM(Player_Mode_Profile!G68:M68)</f>
        <v>20</v>
      </c>
      <c r="S68" s="8">
        <f>SUM(Player_Mode_Profile!N68:O68)</f>
        <v>6</v>
      </c>
      <c r="T68" s="8">
        <f t="shared" si="15"/>
        <v>566</v>
      </c>
      <c r="U68" t="str">
        <f t="shared" si="16"/>
        <v>Vehicle-Heavy</v>
      </c>
    </row>
    <row r="69" spans="1:21" x14ac:dyDescent="0.25">
      <c r="A69" t="str">
        <f>Player_Class_Profile!A69</f>
        <v>LRTX_BF</v>
      </c>
      <c r="B69">
        <v>677</v>
      </c>
      <c r="C69" s="7">
        <v>608</v>
      </c>
      <c r="D69" s="8">
        <v>9.5</v>
      </c>
      <c r="E69" s="7">
        <v>29</v>
      </c>
      <c r="F69" s="12">
        <v>2</v>
      </c>
      <c r="G69" s="8">
        <v>0.75</v>
      </c>
      <c r="H69" s="8">
        <v>0.25</v>
      </c>
      <c r="I69" s="8">
        <v>0.25</v>
      </c>
      <c r="J69" s="8">
        <v>0.75</v>
      </c>
      <c r="K69" s="8">
        <v>0</v>
      </c>
      <c r="L69" s="8">
        <v>0</v>
      </c>
      <c r="M69" s="8">
        <v>1</v>
      </c>
      <c r="N69" s="7">
        <v>0</v>
      </c>
      <c r="O69" s="12">
        <v>0</v>
      </c>
      <c r="P69" s="7">
        <f>SUM(Player_Mode_Profile!C69:D69)</f>
        <v>617.5</v>
      </c>
      <c r="Q69" s="8">
        <f>SUM(Player_Mode_Profile!E69:F69)</f>
        <v>31</v>
      </c>
      <c r="R69" s="8">
        <f>SUM(Player_Mode_Profile!G69:M69)</f>
        <v>3</v>
      </c>
      <c r="S69" s="8">
        <f>SUM(Player_Mode_Profile!N69:O69)</f>
        <v>0</v>
      </c>
      <c r="T69" s="8">
        <f t="shared" si="15"/>
        <v>651.5</v>
      </c>
      <c r="U69" t="str">
        <f t="shared" si="16"/>
        <v>Vehicle-Heavy</v>
      </c>
    </row>
    <row r="70" spans="1:21" x14ac:dyDescent="0.25">
      <c r="A70" t="str">
        <f>Player_Class_Profile!A70</f>
        <v>Rust</v>
      </c>
      <c r="B70">
        <v>687</v>
      </c>
      <c r="C70" s="7">
        <v>371</v>
      </c>
      <c r="D70" s="8">
        <v>290</v>
      </c>
      <c r="E70" s="7">
        <v>51</v>
      </c>
      <c r="F70" s="12">
        <v>11</v>
      </c>
      <c r="G70" s="8">
        <v>1.5</v>
      </c>
      <c r="H70" s="8">
        <v>0.75</v>
      </c>
      <c r="I70" s="8">
        <v>0</v>
      </c>
      <c r="J70" s="8">
        <v>0</v>
      </c>
      <c r="K70" s="8">
        <v>1.25</v>
      </c>
      <c r="L70" s="8">
        <v>1.5</v>
      </c>
      <c r="M70" s="8">
        <v>1.75</v>
      </c>
      <c r="N70" s="7">
        <v>0</v>
      </c>
      <c r="O70" s="12">
        <v>0</v>
      </c>
      <c r="P70" s="7">
        <f>SUM(Player_Mode_Profile!C70:D70)</f>
        <v>661</v>
      </c>
      <c r="Q70" s="8">
        <f>SUM(Player_Mode_Profile!E70:F70)</f>
        <v>62</v>
      </c>
      <c r="R70" s="8">
        <f>SUM(Player_Mode_Profile!G70:M70)</f>
        <v>6.75</v>
      </c>
      <c r="S70" s="8">
        <f>SUM(Player_Mode_Profile!N70:O70)</f>
        <v>0</v>
      </c>
      <c r="T70" s="8">
        <f t="shared" si="15"/>
        <v>729.75</v>
      </c>
      <c r="U70" t="str">
        <f t="shared" si="16"/>
        <v>Vehicle-Heavy</v>
      </c>
    </row>
    <row r="71" spans="1:21" x14ac:dyDescent="0.25">
      <c r="A71" t="str">
        <f>Player_Class_Profile!A71</f>
        <v>bladeshin87</v>
      </c>
      <c r="B71">
        <v>697</v>
      </c>
      <c r="C71" s="7">
        <v>173</v>
      </c>
      <c r="D71" s="8">
        <v>3.75</v>
      </c>
      <c r="E71" s="7">
        <v>399</v>
      </c>
      <c r="F71" s="12">
        <v>6.5</v>
      </c>
      <c r="G71" s="8">
        <v>1.5</v>
      </c>
      <c r="H71" s="8">
        <v>0.5</v>
      </c>
      <c r="I71" s="8">
        <v>2.5</v>
      </c>
      <c r="J71" s="8">
        <v>6.5</v>
      </c>
      <c r="K71" s="8">
        <v>2</v>
      </c>
      <c r="L71" s="8">
        <v>1.5</v>
      </c>
      <c r="M71" s="8">
        <v>5.5</v>
      </c>
      <c r="N71" s="7">
        <v>5.25</v>
      </c>
      <c r="O71" s="12">
        <v>0</v>
      </c>
      <c r="P71" s="7">
        <f>SUM(Player_Mode_Profile!C71:D71)</f>
        <v>176.75</v>
      </c>
      <c r="Q71" s="8">
        <f>SUM(Player_Mode_Profile!E71:F71)</f>
        <v>405.5</v>
      </c>
      <c r="R71" s="8">
        <f>SUM(Player_Mode_Profile!G71:M71)</f>
        <v>20</v>
      </c>
      <c r="S71" s="8">
        <f>SUM(Player_Mode_Profile!N71:O71)</f>
        <v>5.25</v>
      </c>
      <c r="T71" s="8">
        <f t="shared" si="15"/>
        <v>607.5</v>
      </c>
      <c r="U71" t="str">
        <f t="shared" si="16"/>
        <v>Vehicle-Heavy</v>
      </c>
    </row>
    <row r="72" spans="1:21" x14ac:dyDescent="0.25">
      <c r="A72" t="str">
        <f>Player_Class_Profile!A72</f>
        <v>pegasusKOOK</v>
      </c>
      <c r="B72">
        <v>707</v>
      </c>
      <c r="C72" s="7">
        <v>524</v>
      </c>
      <c r="D72" s="8">
        <v>22</v>
      </c>
      <c r="E72" s="7">
        <v>25</v>
      </c>
      <c r="F72" s="12">
        <v>2</v>
      </c>
      <c r="G72" s="8">
        <v>0.5</v>
      </c>
      <c r="H72" s="8">
        <v>0.25</v>
      </c>
      <c r="I72" s="8">
        <v>0</v>
      </c>
      <c r="J72" s="8">
        <v>0.75</v>
      </c>
      <c r="K72" s="8">
        <v>1.25</v>
      </c>
      <c r="L72" s="8">
        <v>1.5</v>
      </c>
      <c r="M72" s="8">
        <v>0.5</v>
      </c>
      <c r="N72" s="7">
        <v>26</v>
      </c>
      <c r="O72" s="12">
        <v>97</v>
      </c>
      <c r="P72" s="7">
        <f>SUM(Player_Mode_Profile!C72:D72)</f>
        <v>546</v>
      </c>
      <c r="Q72" s="8">
        <f>SUM(Player_Mode_Profile!E72:F72)</f>
        <v>27</v>
      </c>
      <c r="R72" s="8">
        <f>SUM(Player_Mode_Profile!G72:M72)</f>
        <v>4.75</v>
      </c>
      <c r="S72" s="8">
        <f>SUM(Player_Mode_Profile!N72:O72)</f>
        <v>123</v>
      </c>
      <c r="T72" s="8">
        <f t="shared" ref="T72:T101" si="17">SUM(P72:S72)</f>
        <v>700.75</v>
      </c>
      <c r="U72" t="str">
        <f t="shared" ref="U72:U101" si="18">IF(SUM(P72:S72)=0,"",IF(S72/SUM(P72:S72)&gt;=0.5,"Battle Royale",IF(R72/SUM(P72:R72)&gt;=0.6,"Infantry-Heavy",IF((P72+0.7*Q72)/SUM(P72:R72)&gt;=0.7,"Vehicle-Heavy","Mixed"))))</f>
        <v>Vehicle-Heavy</v>
      </c>
    </row>
    <row r="73" spans="1:21" x14ac:dyDescent="0.25">
      <c r="A73" t="str">
        <f>Player_Class_Profile!A73</f>
        <v>RyShack_</v>
      </c>
      <c r="B73">
        <v>717</v>
      </c>
      <c r="C73" s="7">
        <v>622</v>
      </c>
      <c r="D73" s="8">
        <v>34</v>
      </c>
      <c r="E73" s="7">
        <v>11</v>
      </c>
      <c r="F73" s="12">
        <v>0.25</v>
      </c>
      <c r="G73" s="8">
        <v>1</v>
      </c>
      <c r="H73" s="8">
        <v>0.5</v>
      </c>
      <c r="I73" s="8">
        <v>0.75</v>
      </c>
      <c r="J73" s="8">
        <v>15</v>
      </c>
      <c r="K73" s="8">
        <v>0.25</v>
      </c>
      <c r="L73" s="8">
        <v>0.5</v>
      </c>
      <c r="M73" s="8">
        <v>3.5</v>
      </c>
      <c r="N73" s="7">
        <v>1.5</v>
      </c>
      <c r="O73" s="12">
        <v>0.25</v>
      </c>
      <c r="P73" s="7">
        <f>SUM(Player_Mode_Profile!C73:D73)</f>
        <v>656</v>
      </c>
      <c r="Q73" s="8">
        <f>SUM(Player_Mode_Profile!E73:F73)</f>
        <v>11.25</v>
      </c>
      <c r="R73" s="8">
        <f>SUM(Player_Mode_Profile!G73:M73)</f>
        <v>21.5</v>
      </c>
      <c r="S73" s="8">
        <f>SUM(Player_Mode_Profile!N73:O73)</f>
        <v>1.75</v>
      </c>
      <c r="T73" s="8">
        <f t="shared" si="17"/>
        <v>690.5</v>
      </c>
      <c r="U73" t="str">
        <f t="shared" si="18"/>
        <v>Vehicle-Heavy</v>
      </c>
    </row>
    <row r="74" spans="1:21" x14ac:dyDescent="0.25">
      <c r="A74" t="str">
        <f>Player_Class_Profile!A74</f>
        <v>Kekko190384</v>
      </c>
      <c r="B74">
        <v>727</v>
      </c>
      <c r="C74" s="7">
        <v>89</v>
      </c>
      <c r="D74" s="8">
        <v>58</v>
      </c>
      <c r="E74" s="7">
        <v>147</v>
      </c>
      <c r="F74" s="12">
        <v>53</v>
      </c>
      <c r="G74" s="8">
        <v>27</v>
      </c>
      <c r="H74" s="8">
        <v>5.5</v>
      </c>
      <c r="I74" s="8">
        <v>4.25</v>
      </c>
      <c r="J74" s="8">
        <v>14</v>
      </c>
      <c r="K74" s="8">
        <v>25</v>
      </c>
      <c r="L74" s="8">
        <v>14</v>
      </c>
      <c r="M74" s="8">
        <v>9</v>
      </c>
      <c r="N74" s="7">
        <v>4.5</v>
      </c>
      <c r="O74" s="12">
        <v>3.5</v>
      </c>
      <c r="P74" s="7">
        <f>SUM(Player_Mode_Profile!C74:D74)</f>
        <v>147</v>
      </c>
      <c r="Q74" s="8">
        <f>SUM(Player_Mode_Profile!E74:F74)</f>
        <v>200</v>
      </c>
      <c r="R74" s="8">
        <f>SUM(Player_Mode_Profile!G74:M74)</f>
        <v>98.75</v>
      </c>
      <c r="S74" s="8">
        <f>SUM(Player_Mode_Profile!N74:O74)</f>
        <v>8</v>
      </c>
      <c r="T74" s="8">
        <f t="shared" si="17"/>
        <v>453.75</v>
      </c>
      <c r="U74" t="str">
        <f t="shared" si="18"/>
        <v>Mixed</v>
      </c>
    </row>
    <row r="75" spans="1:21" x14ac:dyDescent="0.25">
      <c r="A75" t="str">
        <f>Player_Class_Profile!A75</f>
        <v>OCTOGUE</v>
      </c>
      <c r="B75">
        <v>737</v>
      </c>
      <c r="C75" s="7">
        <v>11.75</v>
      </c>
      <c r="D75" s="8">
        <v>1.5</v>
      </c>
      <c r="E75" s="7">
        <v>225</v>
      </c>
      <c r="F75" s="12">
        <v>7.75</v>
      </c>
      <c r="G75" s="8">
        <v>28</v>
      </c>
      <c r="H75" s="8">
        <v>17</v>
      </c>
      <c r="I75" s="8">
        <v>3</v>
      </c>
      <c r="J75" s="8">
        <v>0.5</v>
      </c>
      <c r="K75" s="8">
        <v>51</v>
      </c>
      <c r="L75" s="8">
        <v>39</v>
      </c>
      <c r="M75" s="8">
        <v>1</v>
      </c>
      <c r="N75" s="7">
        <v>1.25</v>
      </c>
      <c r="O75" s="12">
        <v>0.5</v>
      </c>
      <c r="P75" s="7">
        <f>SUM(Player_Mode_Profile!C75:D75)</f>
        <v>13.25</v>
      </c>
      <c r="Q75" s="8">
        <f>SUM(Player_Mode_Profile!E75:F75)</f>
        <v>232.75</v>
      </c>
      <c r="R75" s="8">
        <f>SUM(Player_Mode_Profile!G75:M75)</f>
        <v>139.5</v>
      </c>
      <c r="S75" s="8">
        <f>SUM(Player_Mode_Profile!N75:O75)</f>
        <v>1.75</v>
      </c>
      <c r="T75" s="8">
        <f t="shared" si="17"/>
        <v>387.25</v>
      </c>
      <c r="U75" t="str">
        <f t="shared" si="18"/>
        <v>Mixed</v>
      </c>
    </row>
    <row r="76" spans="1:21" x14ac:dyDescent="0.25">
      <c r="A76" t="str">
        <f>Player_Class_Profile!A76</f>
        <v>lowkeylui</v>
      </c>
      <c r="B76">
        <v>747</v>
      </c>
      <c r="C76" s="7">
        <v>26</v>
      </c>
      <c r="D76" s="8">
        <v>0.25</v>
      </c>
      <c r="E76" s="7">
        <v>31</v>
      </c>
      <c r="F76" s="12">
        <v>1.75</v>
      </c>
      <c r="G76" s="8">
        <v>26</v>
      </c>
      <c r="H76" s="8">
        <v>18</v>
      </c>
      <c r="I76" s="8">
        <v>0</v>
      </c>
      <c r="J76" s="8">
        <v>0.75</v>
      </c>
      <c r="K76" s="8">
        <v>90</v>
      </c>
      <c r="L76" s="8">
        <v>81</v>
      </c>
      <c r="M76" s="8">
        <v>0.25</v>
      </c>
      <c r="N76" s="7">
        <v>0.5</v>
      </c>
      <c r="O76" s="12">
        <v>0.5</v>
      </c>
      <c r="P76" s="7">
        <f>SUM(Player_Mode_Profile!C76:D76)</f>
        <v>26.25</v>
      </c>
      <c r="Q76" s="8">
        <f>SUM(Player_Mode_Profile!E76:F76)</f>
        <v>32.75</v>
      </c>
      <c r="R76" s="8">
        <f>SUM(Player_Mode_Profile!G76:M76)</f>
        <v>216</v>
      </c>
      <c r="S76" s="8">
        <f>SUM(Player_Mode_Profile!N76:O76)</f>
        <v>1</v>
      </c>
      <c r="T76" s="8">
        <f t="shared" si="17"/>
        <v>276</v>
      </c>
      <c r="U76" t="str">
        <f t="shared" si="18"/>
        <v>Infantry-Heavy</v>
      </c>
    </row>
    <row r="77" spans="1:21" x14ac:dyDescent="0.25">
      <c r="A77" t="str">
        <f>Player_Class_Profile!A77</f>
        <v>KruTcH</v>
      </c>
      <c r="B77">
        <v>757</v>
      </c>
      <c r="C77" s="7">
        <v>130</v>
      </c>
      <c r="D77" s="8">
        <v>73</v>
      </c>
      <c r="E77" s="7">
        <v>226</v>
      </c>
      <c r="F77" s="12">
        <v>27</v>
      </c>
      <c r="G77" s="8">
        <v>34</v>
      </c>
      <c r="H77" s="8">
        <v>17</v>
      </c>
      <c r="I77" s="8">
        <v>10.25</v>
      </c>
      <c r="J77" s="8">
        <v>26</v>
      </c>
      <c r="K77" s="8">
        <v>16</v>
      </c>
      <c r="L77" s="8">
        <v>30</v>
      </c>
      <c r="M77" s="8">
        <v>4.5</v>
      </c>
      <c r="N77" s="7">
        <v>19</v>
      </c>
      <c r="O77" s="12">
        <v>3.5</v>
      </c>
      <c r="P77" s="7">
        <f>SUM(Player_Mode_Profile!C77:D77)</f>
        <v>203</v>
      </c>
      <c r="Q77" s="8">
        <f>SUM(Player_Mode_Profile!E77:F77)</f>
        <v>253</v>
      </c>
      <c r="R77" s="8">
        <f>SUM(Player_Mode_Profile!G77:M77)</f>
        <v>137.75</v>
      </c>
      <c r="S77" s="8">
        <f>SUM(Player_Mode_Profile!N77:O77)</f>
        <v>22.5</v>
      </c>
      <c r="T77" s="8">
        <f t="shared" si="17"/>
        <v>616.25</v>
      </c>
      <c r="U77" t="str">
        <f t="shared" si="18"/>
        <v>Mixed</v>
      </c>
    </row>
    <row r="78" spans="1:21" x14ac:dyDescent="0.25">
      <c r="A78" t="str">
        <f>Player_Class_Profile!A78</f>
        <v>Casios</v>
      </c>
      <c r="B78">
        <v>767</v>
      </c>
      <c r="C78" s="7">
        <v>191</v>
      </c>
      <c r="D78" s="8">
        <v>55</v>
      </c>
      <c r="E78" s="7">
        <v>216</v>
      </c>
      <c r="F78" s="12">
        <v>9.75</v>
      </c>
      <c r="G78" s="8">
        <v>8.75</v>
      </c>
      <c r="H78" s="8">
        <v>3</v>
      </c>
      <c r="I78" s="8">
        <v>0.5</v>
      </c>
      <c r="J78" s="8">
        <v>24</v>
      </c>
      <c r="K78" s="8">
        <v>3.25</v>
      </c>
      <c r="L78" s="8">
        <v>3</v>
      </c>
      <c r="M78" s="8">
        <v>4</v>
      </c>
      <c r="N78" s="7">
        <v>40</v>
      </c>
      <c r="O78" s="12">
        <v>5.5</v>
      </c>
      <c r="P78" s="7">
        <f>SUM(Player_Mode_Profile!C78:D78)</f>
        <v>246</v>
      </c>
      <c r="Q78" s="8">
        <f>SUM(Player_Mode_Profile!E78:F78)</f>
        <v>225.75</v>
      </c>
      <c r="R78" s="8">
        <f>SUM(Player_Mode_Profile!G78:M78)</f>
        <v>46.5</v>
      </c>
      <c r="S78" s="8">
        <f>SUM(Player_Mode_Profile!N78:O78)</f>
        <v>45.5</v>
      </c>
      <c r="T78" s="8">
        <f t="shared" si="17"/>
        <v>563.75</v>
      </c>
      <c r="U78" t="str">
        <f t="shared" si="18"/>
        <v>Vehicle-Heavy</v>
      </c>
    </row>
    <row r="79" spans="1:21" x14ac:dyDescent="0.25">
      <c r="A79" t="str">
        <f>Player_Class_Profile!A79</f>
        <v>Icer112</v>
      </c>
      <c r="B79">
        <v>777</v>
      </c>
      <c r="C79" s="7">
        <v>69</v>
      </c>
      <c r="D79" s="8">
        <v>55</v>
      </c>
      <c r="E79" s="7">
        <v>20</v>
      </c>
      <c r="F79" s="12">
        <v>17</v>
      </c>
      <c r="G79" s="8">
        <v>70</v>
      </c>
      <c r="H79" s="8">
        <v>48</v>
      </c>
      <c r="I79" s="8">
        <v>2.5</v>
      </c>
      <c r="J79" s="8">
        <v>59</v>
      </c>
      <c r="K79" s="8">
        <v>5.5</v>
      </c>
      <c r="L79" s="8">
        <v>11</v>
      </c>
      <c r="M79" s="8">
        <v>13</v>
      </c>
      <c r="N79" s="7">
        <v>170</v>
      </c>
      <c r="O79" s="12">
        <v>29</v>
      </c>
      <c r="P79" s="7">
        <f>SUM(Player_Mode_Profile!C79:D79)</f>
        <v>124</v>
      </c>
      <c r="Q79" s="8">
        <f>SUM(Player_Mode_Profile!E79:F79)</f>
        <v>37</v>
      </c>
      <c r="R79" s="8">
        <f>SUM(Player_Mode_Profile!G79:M79)</f>
        <v>209</v>
      </c>
      <c r="S79" s="8">
        <f>SUM(Player_Mode_Profile!N79:O79)</f>
        <v>199</v>
      </c>
      <c r="T79" s="8">
        <f t="shared" si="17"/>
        <v>569</v>
      </c>
      <c r="U79" t="str">
        <f t="shared" si="18"/>
        <v>Mixed</v>
      </c>
    </row>
    <row r="80" spans="1:21" x14ac:dyDescent="0.25">
      <c r="A80" t="str">
        <f>Player_Class_Profile!A80</f>
        <v>Rhyno.Dios</v>
      </c>
      <c r="B80">
        <v>787</v>
      </c>
      <c r="C80" s="7">
        <v>193</v>
      </c>
      <c r="D80" s="8">
        <v>135</v>
      </c>
      <c r="E80" s="7">
        <v>120</v>
      </c>
      <c r="F80" s="12">
        <v>12</v>
      </c>
      <c r="G80" s="8">
        <v>9.25</v>
      </c>
      <c r="H80" s="8">
        <v>2</v>
      </c>
      <c r="I80" s="8">
        <v>0.5</v>
      </c>
      <c r="J80" s="8">
        <v>29</v>
      </c>
      <c r="K80" s="8">
        <v>7</v>
      </c>
      <c r="L80" s="8">
        <v>10.25</v>
      </c>
      <c r="M80" s="8">
        <v>4.75</v>
      </c>
      <c r="N80" s="7">
        <v>21</v>
      </c>
      <c r="O80" s="12">
        <v>4.75</v>
      </c>
      <c r="P80" s="7">
        <f>SUM(Player_Mode_Profile!C80:D80)</f>
        <v>328</v>
      </c>
      <c r="Q80" s="8">
        <f>SUM(Player_Mode_Profile!E80:F80)</f>
        <v>132</v>
      </c>
      <c r="R80" s="8">
        <f>SUM(Player_Mode_Profile!G80:M80)</f>
        <v>62.75</v>
      </c>
      <c r="S80" s="8">
        <f>SUM(Player_Mode_Profile!N80:O80)</f>
        <v>25.75</v>
      </c>
      <c r="T80" s="8">
        <f t="shared" si="17"/>
        <v>548.5</v>
      </c>
      <c r="U80" t="str">
        <f t="shared" si="18"/>
        <v>Vehicle-Heavy</v>
      </c>
    </row>
    <row r="81" spans="1:21" x14ac:dyDescent="0.25">
      <c r="A81" t="str">
        <f>Player_Class_Profile!A81</f>
        <v>I8I HECTOR I8I</v>
      </c>
      <c r="B81">
        <v>797</v>
      </c>
      <c r="C81" s="7">
        <v>208</v>
      </c>
      <c r="D81" s="8">
        <v>14</v>
      </c>
      <c r="E81" s="7">
        <v>14</v>
      </c>
      <c r="F81" s="12">
        <v>4.5</v>
      </c>
      <c r="G81" s="8">
        <v>12</v>
      </c>
      <c r="H81" s="8">
        <v>116</v>
      </c>
      <c r="I81" s="8">
        <v>0.75</v>
      </c>
      <c r="J81" s="8">
        <v>0.75</v>
      </c>
      <c r="K81" s="8">
        <v>10.5</v>
      </c>
      <c r="L81" s="8">
        <v>4.5</v>
      </c>
      <c r="M81" s="8">
        <v>2.5</v>
      </c>
      <c r="N81" s="7">
        <v>62</v>
      </c>
      <c r="O81" s="12">
        <v>37</v>
      </c>
      <c r="P81" s="7">
        <f>SUM(Player_Mode_Profile!C81:D81)</f>
        <v>222</v>
      </c>
      <c r="Q81" s="8">
        <f>SUM(Player_Mode_Profile!E81:F81)</f>
        <v>18.5</v>
      </c>
      <c r="R81" s="8">
        <f>SUM(Player_Mode_Profile!G81:M81)</f>
        <v>147</v>
      </c>
      <c r="S81" s="8">
        <f>SUM(Player_Mode_Profile!N81:O81)</f>
        <v>99</v>
      </c>
      <c r="T81" s="8">
        <f t="shared" si="17"/>
        <v>486.5</v>
      </c>
      <c r="U81" t="str">
        <f t="shared" si="18"/>
        <v>Mixed</v>
      </c>
    </row>
    <row r="82" spans="1:21" x14ac:dyDescent="0.25">
      <c r="A82" t="str">
        <f>Player_Class_Profile!A82</f>
        <v>Rayxbandzx</v>
      </c>
      <c r="B82">
        <v>807</v>
      </c>
      <c r="C82" s="7">
        <v>114</v>
      </c>
      <c r="D82" s="8">
        <v>1</v>
      </c>
      <c r="E82" s="7">
        <v>8.75</v>
      </c>
      <c r="F82" s="12">
        <v>1</v>
      </c>
      <c r="G82" s="8">
        <v>90</v>
      </c>
      <c r="H82" s="8">
        <v>2.75</v>
      </c>
      <c r="I82" s="8">
        <v>0.5</v>
      </c>
      <c r="J82" s="8">
        <v>10</v>
      </c>
      <c r="K82" s="8">
        <v>145</v>
      </c>
      <c r="L82" s="8">
        <v>1</v>
      </c>
      <c r="M82" s="8">
        <v>1</v>
      </c>
      <c r="N82" s="7">
        <v>0.75</v>
      </c>
      <c r="O82" s="12">
        <v>7</v>
      </c>
      <c r="P82" s="7">
        <f>SUM(Player_Mode_Profile!C82:D82)</f>
        <v>115</v>
      </c>
      <c r="Q82" s="8">
        <f>SUM(Player_Mode_Profile!E82:F82)</f>
        <v>9.75</v>
      </c>
      <c r="R82" s="8">
        <f>SUM(Player_Mode_Profile!G82:M82)</f>
        <v>250.25</v>
      </c>
      <c r="S82" s="8">
        <f>SUM(Player_Mode_Profile!N82:O82)</f>
        <v>7.75</v>
      </c>
      <c r="T82" s="8">
        <f t="shared" si="17"/>
        <v>382.75</v>
      </c>
      <c r="U82" t="str">
        <f t="shared" si="18"/>
        <v>Infantry-Heavy</v>
      </c>
    </row>
    <row r="83" spans="1:21" x14ac:dyDescent="0.25">
      <c r="A83" t="str">
        <f>Player_Class_Profile!A83</f>
        <v>Boo89_Hu</v>
      </c>
      <c r="B83">
        <v>817</v>
      </c>
      <c r="C83" s="7">
        <v>87</v>
      </c>
      <c r="D83" s="8">
        <v>16</v>
      </c>
      <c r="E83" s="7">
        <v>221</v>
      </c>
      <c r="F83" s="12">
        <v>47</v>
      </c>
      <c r="G83" s="8">
        <v>5.25</v>
      </c>
      <c r="H83" s="8">
        <v>3.75</v>
      </c>
      <c r="I83" s="8">
        <v>3</v>
      </c>
      <c r="J83" s="8">
        <v>6</v>
      </c>
      <c r="K83" s="8">
        <v>73</v>
      </c>
      <c r="L83" s="8">
        <v>22</v>
      </c>
      <c r="M83" s="8">
        <v>3.75</v>
      </c>
      <c r="N83" s="7">
        <v>5.5</v>
      </c>
      <c r="O83" s="12">
        <v>259</v>
      </c>
      <c r="P83" s="7">
        <f>SUM(Player_Mode_Profile!C83:D83)</f>
        <v>103</v>
      </c>
      <c r="Q83" s="8">
        <f>SUM(Player_Mode_Profile!E83:F83)</f>
        <v>268</v>
      </c>
      <c r="R83" s="8">
        <f>SUM(Player_Mode_Profile!G83:M83)</f>
        <v>116.75</v>
      </c>
      <c r="S83" s="8">
        <f>SUM(Player_Mode_Profile!N83:O83)</f>
        <v>264.5</v>
      </c>
      <c r="T83" s="8">
        <f t="shared" si="17"/>
        <v>752.25</v>
      </c>
      <c r="U83" t="str">
        <f t="shared" si="18"/>
        <v>Mixed</v>
      </c>
    </row>
    <row r="84" spans="1:21" x14ac:dyDescent="0.25">
      <c r="A84" t="str">
        <f>Player_Class_Profile!A84</f>
        <v>女aBDULLAH15n</v>
      </c>
      <c r="B84">
        <v>827</v>
      </c>
      <c r="C84" s="7">
        <v>9.25</v>
      </c>
      <c r="D84" s="8">
        <v>3.25</v>
      </c>
      <c r="E84" s="7">
        <v>549</v>
      </c>
      <c r="F84" s="12">
        <v>2.25</v>
      </c>
      <c r="G84" s="8">
        <v>0.5</v>
      </c>
      <c r="H84" s="8">
        <v>0</v>
      </c>
      <c r="I84" s="8">
        <v>0</v>
      </c>
      <c r="J84" s="8">
        <v>0</v>
      </c>
      <c r="K84" s="8">
        <v>1.25</v>
      </c>
      <c r="L84" s="8">
        <v>0.75</v>
      </c>
      <c r="M84" s="8">
        <v>0</v>
      </c>
      <c r="N84" s="7">
        <v>0</v>
      </c>
      <c r="O84" s="12">
        <v>0</v>
      </c>
      <c r="P84" s="7">
        <f>SUM(Player_Mode_Profile!C84:D84)</f>
        <v>12.5</v>
      </c>
      <c r="Q84" s="8">
        <f>SUM(Player_Mode_Profile!E84:F84)</f>
        <v>551.25</v>
      </c>
      <c r="R84" s="8">
        <f>SUM(Player_Mode_Profile!G84:M84)</f>
        <v>2.5</v>
      </c>
      <c r="S84" s="8">
        <f>SUM(Player_Mode_Profile!N84:O84)</f>
        <v>0</v>
      </c>
      <c r="T84" s="8">
        <f t="shared" si="17"/>
        <v>566.25</v>
      </c>
      <c r="U84" t="str">
        <f t="shared" si="18"/>
        <v>Vehicle-Heavy</v>
      </c>
    </row>
    <row r="85" spans="1:21" x14ac:dyDescent="0.25">
      <c r="A85" t="str">
        <f>Player_Class_Profile!A85</f>
        <v>Loogiboii</v>
      </c>
      <c r="B85">
        <v>837</v>
      </c>
      <c r="C85" s="7">
        <v>50</v>
      </c>
      <c r="D85" s="8">
        <v>11.75</v>
      </c>
      <c r="E85" s="7">
        <v>284</v>
      </c>
      <c r="F85" s="12">
        <v>1.75</v>
      </c>
      <c r="G85" s="8">
        <v>87</v>
      </c>
      <c r="H85" s="8">
        <v>46</v>
      </c>
      <c r="I85" s="8">
        <v>0.75</v>
      </c>
      <c r="J85" s="8">
        <v>6.25</v>
      </c>
      <c r="K85" s="8">
        <v>10.25</v>
      </c>
      <c r="L85" s="8">
        <v>8.75</v>
      </c>
      <c r="M85" s="8">
        <v>0</v>
      </c>
      <c r="N85" s="7">
        <v>77</v>
      </c>
      <c r="O85" s="12">
        <v>33</v>
      </c>
      <c r="P85" s="7">
        <f>SUM(Player_Mode_Profile!C85:D85)</f>
        <v>61.75</v>
      </c>
      <c r="Q85" s="8">
        <f>SUM(Player_Mode_Profile!E85:F85)</f>
        <v>285.75</v>
      </c>
      <c r="R85" s="8">
        <f>SUM(Player_Mode_Profile!G85:M85)</f>
        <v>159</v>
      </c>
      <c r="S85" s="8">
        <f>SUM(Player_Mode_Profile!N85:O85)</f>
        <v>110</v>
      </c>
      <c r="T85" s="8">
        <f t="shared" si="17"/>
        <v>616.5</v>
      </c>
      <c r="U85" t="str">
        <f t="shared" si="18"/>
        <v>Mixed</v>
      </c>
    </row>
    <row r="86" spans="1:21" x14ac:dyDescent="0.25">
      <c r="A86" t="str">
        <f>Player_Class_Profile!A86</f>
        <v>若葉 睦 Ave Mujica</v>
      </c>
      <c r="B86">
        <v>847</v>
      </c>
      <c r="C86" s="7">
        <v>163</v>
      </c>
      <c r="D86" s="8">
        <v>17</v>
      </c>
      <c r="E86" s="7">
        <v>215</v>
      </c>
      <c r="F86" s="12">
        <v>2</v>
      </c>
      <c r="G86" s="8">
        <v>11</v>
      </c>
      <c r="H86" s="8">
        <v>4.25</v>
      </c>
      <c r="I86" s="8">
        <v>0.75</v>
      </c>
      <c r="J86" s="8">
        <v>3.75</v>
      </c>
      <c r="K86" s="8">
        <v>7.75</v>
      </c>
      <c r="L86" s="8">
        <v>7.25</v>
      </c>
      <c r="M86" s="8">
        <v>7</v>
      </c>
      <c r="N86" s="7">
        <v>4.5</v>
      </c>
      <c r="O86" s="12">
        <v>1.25</v>
      </c>
      <c r="P86" s="7">
        <f>SUM(Player_Mode_Profile!C86:D86)</f>
        <v>180</v>
      </c>
      <c r="Q86" s="8">
        <f>SUM(Player_Mode_Profile!E86:F86)</f>
        <v>217</v>
      </c>
      <c r="R86" s="8">
        <f>SUM(Player_Mode_Profile!G86:M86)</f>
        <v>41.75</v>
      </c>
      <c r="S86" s="8">
        <f>SUM(Player_Mode_Profile!N86:O86)</f>
        <v>5.75</v>
      </c>
      <c r="T86" s="8">
        <f t="shared" si="17"/>
        <v>444.5</v>
      </c>
      <c r="U86" t="str">
        <f t="shared" si="18"/>
        <v>Vehicle-Heavy</v>
      </c>
    </row>
    <row r="87" spans="1:21" x14ac:dyDescent="0.25">
      <c r="A87" t="str">
        <f>Player_Class_Profile!A87</f>
        <v>XxGriZzledVeTxX</v>
      </c>
      <c r="B87">
        <v>857</v>
      </c>
      <c r="C87" s="7">
        <v>275</v>
      </c>
      <c r="D87" s="8">
        <v>65</v>
      </c>
      <c r="E87" s="7">
        <v>47</v>
      </c>
      <c r="F87" s="12">
        <v>18</v>
      </c>
      <c r="G87" s="8">
        <v>27</v>
      </c>
      <c r="H87" s="8">
        <v>4.75</v>
      </c>
      <c r="I87" s="8">
        <v>3</v>
      </c>
      <c r="J87" s="8">
        <v>6.75</v>
      </c>
      <c r="K87" s="8">
        <v>16</v>
      </c>
      <c r="L87" s="8">
        <v>16</v>
      </c>
      <c r="M87" s="8">
        <v>1.5</v>
      </c>
      <c r="N87" s="7">
        <v>1</v>
      </c>
      <c r="O87" s="12">
        <v>1.5</v>
      </c>
      <c r="P87" s="7">
        <f>SUM(Player_Mode_Profile!C87:D87)</f>
        <v>340</v>
      </c>
      <c r="Q87" s="8">
        <f>SUM(Player_Mode_Profile!E87:F87)</f>
        <v>65</v>
      </c>
      <c r="R87" s="8">
        <f>SUM(Player_Mode_Profile!G87:M87)</f>
        <v>75</v>
      </c>
      <c r="S87" s="8">
        <f>SUM(Player_Mode_Profile!N87:O87)</f>
        <v>2.5</v>
      </c>
      <c r="T87" s="8">
        <f t="shared" si="17"/>
        <v>482.5</v>
      </c>
      <c r="U87" t="str">
        <f t="shared" si="18"/>
        <v>Vehicle-Heavy</v>
      </c>
    </row>
    <row r="88" spans="1:21" x14ac:dyDescent="0.25">
      <c r="A88" t="str">
        <f>Player_Class_Profile!A88</f>
        <v>stevenfett</v>
      </c>
      <c r="B88">
        <v>867</v>
      </c>
      <c r="C88" s="7">
        <v>116</v>
      </c>
      <c r="D88" s="8">
        <v>40</v>
      </c>
      <c r="E88" s="7">
        <v>229</v>
      </c>
      <c r="F88" s="12">
        <v>13</v>
      </c>
      <c r="G88" s="8">
        <v>13</v>
      </c>
      <c r="H88" s="8">
        <v>8.5</v>
      </c>
      <c r="I88" s="8">
        <v>2</v>
      </c>
      <c r="J88" s="8">
        <v>102</v>
      </c>
      <c r="K88" s="8">
        <v>16</v>
      </c>
      <c r="L88" s="8">
        <v>22</v>
      </c>
      <c r="M88" s="8">
        <v>5.25</v>
      </c>
      <c r="N88" s="7">
        <v>5.5</v>
      </c>
      <c r="O88" s="12">
        <v>1.5</v>
      </c>
      <c r="P88" s="7">
        <f>SUM(Player_Mode_Profile!C88:D88)</f>
        <v>156</v>
      </c>
      <c r="Q88" s="8">
        <f>SUM(Player_Mode_Profile!E88:F88)</f>
        <v>242</v>
      </c>
      <c r="R88" s="8">
        <f>SUM(Player_Mode_Profile!G88:M88)</f>
        <v>168.75</v>
      </c>
      <c r="S88" s="8">
        <f>SUM(Player_Mode_Profile!N88:O88)</f>
        <v>7</v>
      </c>
      <c r="T88" s="8">
        <f t="shared" si="17"/>
        <v>573.75</v>
      </c>
      <c r="U88" t="str">
        <f t="shared" si="18"/>
        <v>Mixed</v>
      </c>
    </row>
    <row r="89" spans="1:21" x14ac:dyDescent="0.25">
      <c r="A89" t="str">
        <f>Player_Class_Profile!A89</f>
        <v>Czarny_Pancio</v>
      </c>
      <c r="B89">
        <v>877</v>
      </c>
      <c r="C89" s="7">
        <v>453</v>
      </c>
      <c r="D89" s="8">
        <v>6.75</v>
      </c>
      <c r="E89" s="7">
        <v>10.5</v>
      </c>
      <c r="F89" s="12">
        <v>4.5</v>
      </c>
      <c r="G89" s="8">
        <v>11.75</v>
      </c>
      <c r="H89" s="8">
        <v>5.25</v>
      </c>
      <c r="I89" s="8">
        <v>0</v>
      </c>
      <c r="J89" s="8">
        <v>13</v>
      </c>
      <c r="K89" s="8">
        <v>4.25</v>
      </c>
      <c r="L89" s="8">
        <v>1</v>
      </c>
      <c r="M89" s="8">
        <v>2</v>
      </c>
      <c r="N89" s="7">
        <v>0</v>
      </c>
      <c r="O89" s="12">
        <v>0.25</v>
      </c>
      <c r="P89" s="7">
        <f>SUM(Player_Mode_Profile!C89:D89)</f>
        <v>459.75</v>
      </c>
      <c r="Q89" s="8">
        <f>SUM(Player_Mode_Profile!E89:F89)</f>
        <v>15</v>
      </c>
      <c r="R89" s="8">
        <f>SUM(Player_Mode_Profile!G89:M89)</f>
        <v>37.25</v>
      </c>
      <c r="S89" s="8">
        <f>SUM(Player_Mode_Profile!N89:O89)</f>
        <v>0.25</v>
      </c>
      <c r="T89" s="8">
        <f t="shared" si="17"/>
        <v>512.25</v>
      </c>
      <c r="U89" t="str">
        <f t="shared" si="18"/>
        <v>Vehicle-Heavy</v>
      </c>
    </row>
    <row r="90" spans="1:21" x14ac:dyDescent="0.25">
      <c r="A90" t="str">
        <f>Player_Class_Profile!A90</f>
        <v>MARQ THE BEAST</v>
      </c>
      <c r="B90">
        <v>887</v>
      </c>
      <c r="C90" s="7">
        <v>175</v>
      </c>
      <c r="D90" s="8">
        <v>60</v>
      </c>
      <c r="E90" s="7">
        <v>97</v>
      </c>
      <c r="F90" s="12">
        <v>24</v>
      </c>
      <c r="G90" s="8">
        <v>3.75</v>
      </c>
      <c r="H90" s="8">
        <v>3</v>
      </c>
      <c r="I90" s="8">
        <v>0.5</v>
      </c>
      <c r="J90" s="8">
        <v>101</v>
      </c>
      <c r="K90" s="8">
        <v>6.25</v>
      </c>
      <c r="L90" s="8">
        <v>3.25</v>
      </c>
      <c r="M90" s="8">
        <v>1.25</v>
      </c>
      <c r="N90" s="7">
        <v>32</v>
      </c>
      <c r="O90" s="12">
        <v>2.75</v>
      </c>
      <c r="P90" s="7">
        <f>SUM(Player_Mode_Profile!C90:D90)</f>
        <v>235</v>
      </c>
      <c r="Q90" s="8">
        <f>SUM(Player_Mode_Profile!E90:F90)</f>
        <v>121</v>
      </c>
      <c r="R90" s="8">
        <f>SUM(Player_Mode_Profile!G90:M90)</f>
        <v>119</v>
      </c>
      <c r="S90" s="8">
        <f>SUM(Player_Mode_Profile!N90:O90)</f>
        <v>34.75</v>
      </c>
      <c r="T90" s="8">
        <f t="shared" si="17"/>
        <v>509.75</v>
      </c>
      <c r="U90" t="str">
        <f t="shared" si="18"/>
        <v>Mixed</v>
      </c>
    </row>
    <row r="91" spans="1:21" x14ac:dyDescent="0.25">
      <c r="A91" t="str">
        <f>Player_Class_Profile!A91</f>
        <v>MB-Wayne</v>
      </c>
      <c r="B91">
        <v>897</v>
      </c>
      <c r="C91" s="7">
        <v>179</v>
      </c>
      <c r="D91" s="8">
        <v>10.5</v>
      </c>
      <c r="E91" s="7">
        <v>14</v>
      </c>
      <c r="F91" s="12">
        <v>7.25</v>
      </c>
      <c r="G91" s="8">
        <v>76</v>
      </c>
      <c r="H91" s="8">
        <v>37</v>
      </c>
      <c r="I91" s="8">
        <v>0.5</v>
      </c>
      <c r="J91" s="8">
        <v>13</v>
      </c>
      <c r="K91" s="8">
        <v>2.75</v>
      </c>
      <c r="L91" s="8">
        <v>4.5</v>
      </c>
      <c r="M91" s="8">
        <v>0</v>
      </c>
      <c r="N91" s="7">
        <v>0.5</v>
      </c>
      <c r="O91" s="12">
        <v>0</v>
      </c>
      <c r="P91" s="7">
        <f>SUM(Player_Mode_Profile!C91:D91)</f>
        <v>189.5</v>
      </c>
      <c r="Q91" s="8">
        <f>SUM(Player_Mode_Profile!E91:F91)</f>
        <v>21.25</v>
      </c>
      <c r="R91" s="8">
        <f>SUM(Player_Mode_Profile!G91:M91)</f>
        <v>133.75</v>
      </c>
      <c r="S91" s="8">
        <f>SUM(Player_Mode_Profile!N91:O91)</f>
        <v>0.5</v>
      </c>
      <c r="T91" s="8">
        <f t="shared" si="17"/>
        <v>345</v>
      </c>
      <c r="U91" t="str">
        <f t="shared" si="18"/>
        <v>Mixed</v>
      </c>
    </row>
    <row r="92" spans="1:21" x14ac:dyDescent="0.25">
      <c r="A92" t="str">
        <f>Player_Class_Profile!A92</f>
        <v>Buchanan008</v>
      </c>
      <c r="B92">
        <v>907</v>
      </c>
      <c r="C92" s="7">
        <v>360</v>
      </c>
      <c r="D92" s="8">
        <v>113</v>
      </c>
      <c r="E92" s="7">
        <v>83</v>
      </c>
      <c r="F92" s="12">
        <v>53</v>
      </c>
      <c r="G92" s="8">
        <v>4.75</v>
      </c>
      <c r="H92" s="8">
        <v>2.5</v>
      </c>
      <c r="I92" s="8">
        <v>2</v>
      </c>
      <c r="J92" s="8">
        <v>1</v>
      </c>
      <c r="K92" s="8">
        <v>6.25</v>
      </c>
      <c r="L92" s="8">
        <v>6.75</v>
      </c>
      <c r="M92" s="8">
        <v>7</v>
      </c>
      <c r="N92" s="7">
        <v>13</v>
      </c>
      <c r="O92" s="12">
        <v>41</v>
      </c>
      <c r="P92" s="7">
        <f>SUM(Player_Mode_Profile!C92:D92)</f>
        <v>473</v>
      </c>
      <c r="Q92" s="8">
        <f>SUM(Player_Mode_Profile!E92:F92)</f>
        <v>136</v>
      </c>
      <c r="R92" s="8">
        <f>SUM(Player_Mode_Profile!G92:M92)</f>
        <v>30.25</v>
      </c>
      <c r="S92" s="8">
        <f>SUM(Player_Mode_Profile!N92:O92)</f>
        <v>54</v>
      </c>
      <c r="T92" s="8">
        <f t="shared" si="17"/>
        <v>693.25</v>
      </c>
      <c r="U92" t="str">
        <f t="shared" si="18"/>
        <v>Vehicle-Heavy</v>
      </c>
    </row>
    <row r="93" spans="1:21" x14ac:dyDescent="0.25">
      <c r="A93" t="str">
        <f>Player_Class_Profile!A93</f>
        <v>Q8-SHOOTER</v>
      </c>
      <c r="B93">
        <v>917</v>
      </c>
      <c r="C93" s="7">
        <v>92</v>
      </c>
      <c r="D93" s="8">
        <v>27</v>
      </c>
      <c r="E93" s="7">
        <v>872</v>
      </c>
      <c r="F93" s="12">
        <v>0.75</v>
      </c>
      <c r="G93" s="8">
        <v>13</v>
      </c>
      <c r="H93" s="8">
        <v>1.25</v>
      </c>
      <c r="I93" s="8">
        <v>0</v>
      </c>
      <c r="J93" s="8">
        <v>0.5</v>
      </c>
      <c r="K93" s="8">
        <v>7.25</v>
      </c>
      <c r="L93" s="8">
        <v>7.25</v>
      </c>
      <c r="M93" s="8">
        <v>0</v>
      </c>
      <c r="N93" s="7">
        <v>1.5</v>
      </c>
      <c r="O93" s="12">
        <v>0</v>
      </c>
      <c r="P93" s="7">
        <f>SUM(Player_Mode_Profile!C93:D93)</f>
        <v>119</v>
      </c>
      <c r="Q93" s="8">
        <f>SUM(Player_Mode_Profile!E93:F93)</f>
        <v>872.75</v>
      </c>
      <c r="R93" s="8">
        <f>SUM(Player_Mode_Profile!G93:M93)</f>
        <v>29.25</v>
      </c>
      <c r="S93" s="8">
        <f>SUM(Player_Mode_Profile!N93:O93)</f>
        <v>1.5</v>
      </c>
      <c r="T93" s="8">
        <f t="shared" si="17"/>
        <v>1022.5</v>
      </c>
      <c r="U93" t="str">
        <f t="shared" si="18"/>
        <v>Vehicle-Heavy</v>
      </c>
    </row>
    <row r="94" spans="1:21" x14ac:dyDescent="0.25">
      <c r="A94" t="str">
        <f>Player_Class_Profile!A94</f>
        <v>witted-lug0gg</v>
      </c>
      <c r="B94">
        <v>927</v>
      </c>
      <c r="C94" s="7">
        <v>130</v>
      </c>
      <c r="D94" s="8">
        <v>82</v>
      </c>
      <c r="E94" s="7">
        <v>118</v>
      </c>
      <c r="F94" s="12">
        <v>14</v>
      </c>
      <c r="G94" s="8">
        <v>42</v>
      </c>
      <c r="H94" s="8">
        <v>9.75</v>
      </c>
      <c r="I94" s="8">
        <v>4.75</v>
      </c>
      <c r="J94" s="8">
        <v>2</v>
      </c>
      <c r="K94" s="8">
        <v>17</v>
      </c>
      <c r="L94" s="8">
        <v>24</v>
      </c>
      <c r="M94" s="8">
        <v>0.5</v>
      </c>
      <c r="N94" s="7">
        <v>6.5</v>
      </c>
      <c r="O94" s="12">
        <v>1</v>
      </c>
      <c r="P94" s="7">
        <f>SUM(Player_Mode_Profile!C94:D94)</f>
        <v>212</v>
      </c>
      <c r="Q94" s="8">
        <f>SUM(Player_Mode_Profile!E94:F94)</f>
        <v>132</v>
      </c>
      <c r="R94" s="8">
        <f>SUM(Player_Mode_Profile!G94:M94)</f>
        <v>100</v>
      </c>
      <c r="S94" s="8">
        <f>SUM(Player_Mode_Profile!N94:O94)</f>
        <v>7.5</v>
      </c>
      <c r="T94" s="8">
        <f t="shared" si="17"/>
        <v>451.5</v>
      </c>
      <c r="U94" t="str">
        <f t="shared" si="18"/>
        <v>Mixed</v>
      </c>
    </row>
    <row r="95" spans="1:21" x14ac:dyDescent="0.25">
      <c r="A95" t="str">
        <f>Player_Class_Profile!A95</f>
        <v>C00L_Breeze_79</v>
      </c>
      <c r="B95">
        <v>937</v>
      </c>
      <c r="C95" s="7">
        <v>37</v>
      </c>
      <c r="D95" s="8">
        <v>45</v>
      </c>
      <c r="E95" s="7">
        <v>43</v>
      </c>
      <c r="F95" s="12">
        <v>32</v>
      </c>
      <c r="G95" s="8">
        <v>55</v>
      </c>
      <c r="H95" s="8">
        <v>14</v>
      </c>
      <c r="I95" s="8">
        <v>9.5</v>
      </c>
      <c r="J95" s="8">
        <v>16</v>
      </c>
      <c r="K95" s="8">
        <v>50</v>
      </c>
      <c r="L95" s="8">
        <v>25</v>
      </c>
      <c r="M95" s="8">
        <v>0</v>
      </c>
      <c r="N95" s="7">
        <v>20</v>
      </c>
      <c r="O95" s="12">
        <v>0</v>
      </c>
      <c r="P95" s="7">
        <f>SUM(Player_Mode_Profile!C95:D95)</f>
        <v>82</v>
      </c>
      <c r="Q95" s="8">
        <f>SUM(Player_Mode_Profile!E95:F95)</f>
        <v>75</v>
      </c>
      <c r="R95" s="8">
        <f>SUM(Player_Mode_Profile!G95:M95)</f>
        <v>169.5</v>
      </c>
      <c r="S95" s="8">
        <f>SUM(Player_Mode_Profile!N95:O95)</f>
        <v>20</v>
      </c>
      <c r="T95" s="8">
        <f t="shared" si="17"/>
        <v>346.5</v>
      </c>
      <c r="U95" t="str">
        <f t="shared" si="18"/>
        <v>Mixed</v>
      </c>
    </row>
    <row r="96" spans="1:21" x14ac:dyDescent="0.25">
      <c r="A96" t="str">
        <f>Player_Class_Profile!A96</f>
        <v>Valefar l</v>
      </c>
      <c r="B96">
        <v>947</v>
      </c>
      <c r="C96" s="7">
        <v>240</v>
      </c>
      <c r="D96" s="8">
        <v>34</v>
      </c>
      <c r="E96" s="7">
        <v>97</v>
      </c>
      <c r="F96" s="12">
        <v>20</v>
      </c>
      <c r="G96" s="8">
        <v>31</v>
      </c>
      <c r="H96" s="8">
        <v>5</v>
      </c>
      <c r="I96" s="8">
        <v>5.5</v>
      </c>
      <c r="J96" s="8">
        <v>3.5</v>
      </c>
      <c r="K96" s="8">
        <v>32</v>
      </c>
      <c r="L96" s="8">
        <v>26</v>
      </c>
      <c r="M96" s="8">
        <v>2.75</v>
      </c>
      <c r="N96" s="7">
        <v>4</v>
      </c>
      <c r="O96" s="12">
        <v>2.75</v>
      </c>
      <c r="P96" s="7">
        <f>SUM(Player_Mode_Profile!C96:D96)</f>
        <v>274</v>
      </c>
      <c r="Q96" s="8">
        <f>SUM(Player_Mode_Profile!E96:F96)</f>
        <v>117</v>
      </c>
      <c r="R96" s="8">
        <f>SUM(Player_Mode_Profile!G96:M96)</f>
        <v>105.75</v>
      </c>
      <c r="S96" s="8">
        <f>SUM(Player_Mode_Profile!N96:O96)</f>
        <v>6.75</v>
      </c>
      <c r="T96" s="8">
        <f t="shared" si="17"/>
        <v>503.5</v>
      </c>
      <c r="U96" t="str">
        <f t="shared" si="18"/>
        <v>Vehicle-Heavy</v>
      </c>
    </row>
    <row r="97" spans="1:21" x14ac:dyDescent="0.25">
      <c r="A97" t="str">
        <f>Player_Class_Profile!A97</f>
        <v>SilverCrown117</v>
      </c>
      <c r="B97">
        <v>957</v>
      </c>
      <c r="C97" s="7">
        <v>76</v>
      </c>
      <c r="D97" s="8">
        <v>16</v>
      </c>
      <c r="E97" s="7">
        <v>133</v>
      </c>
      <c r="F97" s="12">
        <v>175</v>
      </c>
      <c r="G97" s="8">
        <v>9</v>
      </c>
      <c r="H97" s="8">
        <v>5</v>
      </c>
      <c r="I97" s="8">
        <v>0.25</v>
      </c>
      <c r="J97" s="8">
        <v>49</v>
      </c>
      <c r="K97" s="8">
        <v>20</v>
      </c>
      <c r="L97" s="8">
        <v>10.25</v>
      </c>
      <c r="M97" s="8">
        <v>8</v>
      </c>
      <c r="N97" s="7">
        <v>6</v>
      </c>
      <c r="O97" s="12">
        <v>4.25</v>
      </c>
      <c r="P97" s="7">
        <f>SUM(Player_Mode_Profile!C97:D97)</f>
        <v>92</v>
      </c>
      <c r="Q97" s="8">
        <f>SUM(Player_Mode_Profile!E97:F97)</f>
        <v>308</v>
      </c>
      <c r="R97" s="8">
        <f>SUM(Player_Mode_Profile!G97:M97)</f>
        <v>101.5</v>
      </c>
      <c r="S97" s="8">
        <f>SUM(Player_Mode_Profile!N97:O97)</f>
        <v>10.25</v>
      </c>
      <c r="T97" s="8">
        <f t="shared" si="17"/>
        <v>511.75</v>
      </c>
      <c r="U97" t="str">
        <f t="shared" si="18"/>
        <v>Mixed</v>
      </c>
    </row>
    <row r="98" spans="1:21" x14ac:dyDescent="0.25">
      <c r="A98" t="str">
        <f>Player_Class_Profile!A98</f>
        <v>WhiteYD1299</v>
      </c>
      <c r="B98">
        <v>967</v>
      </c>
      <c r="C98" s="7">
        <v>236</v>
      </c>
      <c r="D98" s="8">
        <v>6</v>
      </c>
      <c r="E98" s="7">
        <v>5</v>
      </c>
      <c r="F98" s="12">
        <v>3</v>
      </c>
      <c r="G98" s="8">
        <v>15</v>
      </c>
      <c r="H98" s="8">
        <v>4</v>
      </c>
      <c r="I98" s="8">
        <v>2.5</v>
      </c>
      <c r="J98" s="8">
        <v>7.5</v>
      </c>
      <c r="K98" s="8">
        <v>43</v>
      </c>
      <c r="L98" s="8">
        <v>49</v>
      </c>
      <c r="M98" s="8">
        <v>1</v>
      </c>
      <c r="N98" s="7">
        <v>7.5</v>
      </c>
      <c r="O98" s="12">
        <v>0.25</v>
      </c>
      <c r="P98" s="7">
        <f>SUM(Player_Mode_Profile!C98:D98)</f>
        <v>242</v>
      </c>
      <c r="Q98" s="8">
        <f>SUM(Player_Mode_Profile!E98:F98)</f>
        <v>8</v>
      </c>
      <c r="R98" s="8">
        <f>SUM(Player_Mode_Profile!G98:M98)</f>
        <v>122</v>
      </c>
      <c r="S98" s="8">
        <f>SUM(Player_Mode_Profile!N98:O98)</f>
        <v>7.75</v>
      </c>
      <c r="T98" s="8">
        <f t="shared" si="17"/>
        <v>379.75</v>
      </c>
      <c r="U98" t="str">
        <f t="shared" si="18"/>
        <v>Mixed</v>
      </c>
    </row>
    <row r="99" spans="1:21" x14ac:dyDescent="0.25">
      <c r="A99" t="str">
        <f>Player_Class_Profile!A99</f>
        <v>14_SCALPEL_41</v>
      </c>
      <c r="B99">
        <v>977</v>
      </c>
      <c r="C99" s="7">
        <v>413</v>
      </c>
      <c r="D99" s="8">
        <v>1</v>
      </c>
      <c r="E99" s="7">
        <v>26</v>
      </c>
      <c r="F99" s="12">
        <v>2</v>
      </c>
      <c r="G99" s="8">
        <v>1</v>
      </c>
      <c r="H99" s="8">
        <v>0.25</v>
      </c>
      <c r="I99" s="8">
        <v>0.25</v>
      </c>
      <c r="J99" s="8">
        <v>0.25</v>
      </c>
      <c r="K99" s="8">
        <v>3.25</v>
      </c>
      <c r="L99" s="8">
        <v>0.5</v>
      </c>
      <c r="M99" s="8">
        <v>0.25</v>
      </c>
      <c r="N99" s="7">
        <v>23</v>
      </c>
      <c r="O99" s="12">
        <v>0</v>
      </c>
      <c r="P99" s="7">
        <f>SUM(Player_Mode_Profile!C99:D99)</f>
        <v>414</v>
      </c>
      <c r="Q99" s="8">
        <f>SUM(Player_Mode_Profile!E99:F99)</f>
        <v>28</v>
      </c>
      <c r="R99" s="8">
        <f>SUM(Player_Mode_Profile!G99:M99)</f>
        <v>5.75</v>
      </c>
      <c r="S99" s="8">
        <f>SUM(Player_Mode_Profile!N99:O99)</f>
        <v>23</v>
      </c>
      <c r="T99" s="8">
        <f t="shared" si="17"/>
        <v>470.75</v>
      </c>
      <c r="U99" t="str">
        <f t="shared" si="18"/>
        <v>Vehicle-Heavy</v>
      </c>
    </row>
    <row r="100" spans="1:21" x14ac:dyDescent="0.25">
      <c r="A100" t="str">
        <f>Player_Class_Profile!A100</f>
        <v>DiPHY</v>
      </c>
      <c r="B100">
        <v>987</v>
      </c>
      <c r="C100" s="7">
        <v>112</v>
      </c>
      <c r="D100" s="8">
        <v>183</v>
      </c>
      <c r="E100" s="7">
        <v>264</v>
      </c>
      <c r="F100" s="12">
        <v>20</v>
      </c>
      <c r="G100" s="8">
        <v>4</v>
      </c>
      <c r="H100" s="8">
        <v>4.75</v>
      </c>
      <c r="I100" s="8">
        <v>0.5</v>
      </c>
      <c r="J100" s="8">
        <v>2</v>
      </c>
      <c r="K100" s="8">
        <v>3.5</v>
      </c>
      <c r="L100" s="8">
        <v>2</v>
      </c>
      <c r="M100" s="8">
        <v>3</v>
      </c>
      <c r="N100" s="7">
        <v>0</v>
      </c>
      <c r="O100" s="12">
        <v>0</v>
      </c>
      <c r="P100" s="7">
        <f>SUM(Player_Mode_Profile!C100:D100)</f>
        <v>295</v>
      </c>
      <c r="Q100" s="8">
        <f>SUM(Player_Mode_Profile!E100:F100)</f>
        <v>284</v>
      </c>
      <c r="R100" s="8">
        <f>SUM(Player_Mode_Profile!G100:M100)</f>
        <v>19.75</v>
      </c>
      <c r="S100" s="8">
        <f>SUM(Player_Mode_Profile!N100:O100)</f>
        <v>0</v>
      </c>
      <c r="T100" s="8">
        <f t="shared" si="17"/>
        <v>598.75</v>
      </c>
      <c r="U100" t="str">
        <f t="shared" si="18"/>
        <v>Vehicle-Heavy</v>
      </c>
    </row>
    <row r="101" spans="1:21" x14ac:dyDescent="0.25">
      <c r="A101" t="str">
        <f>Player_Class_Profile!A101</f>
        <v>tc_likeman01</v>
      </c>
      <c r="B101">
        <v>997</v>
      </c>
      <c r="C101" s="7">
        <v>283</v>
      </c>
      <c r="D101" s="8">
        <v>69</v>
      </c>
      <c r="E101" s="7">
        <v>150</v>
      </c>
      <c r="F101" s="12">
        <v>52</v>
      </c>
      <c r="G101" s="8">
        <v>30</v>
      </c>
      <c r="H101" s="8">
        <v>10.5</v>
      </c>
      <c r="I101" s="8">
        <v>6.5</v>
      </c>
      <c r="J101" s="8">
        <v>9.25</v>
      </c>
      <c r="K101" s="8">
        <v>16</v>
      </c>
      <c r="L101" s="8">
        <v>14</v>
      </c>
      <c r="M101" s="8">
        <v>4.25</v>
      </c>
      <c r="N101" s="7">
        <v>17</v>
      </c>
      <c r="O101" s="12">
        <v>4.25</v>
      </c>
      <c r="P101" s="7">
        <f>SUM(Player_Mode_Profile!C101:D101)</f>
        <v>352</v>
      </c>
      <c r="Q101" s="8">
        <f>SUM(Player_Mode_Profile!E101:F101)</f>
        <v>202</v>
      </c>
      <c r="R101" s="8">
        <f>SUM(Player_Mode_Profile!G101:M101)</f>
        <v>90.5</v>
      </c>
      <c r="S101" s="8">
        <f>SUM(Player_Mode_Profile!N101:O101)</f>
        <v>21.25</v>
      </c>
      <c r="T101" s="8">
        <f t="shared" si="17"/>
        <v>665.75</v>
      </c>
      <c r="U101" t="str">
        <f t="shared" si="18"/>
        <v>Vehicle-Heavy</v>
      </c>
    </row>
    <row r="102" spans="1:21" x14ac:dyDescent="0.25">
      <c r="B102">
        <v>1007</v>
      </c>
      <c r="U102" t="str">
        <f t="shared" ref="U102:U140" si="19">IF(SUM(P102:S102)=0,"",IF(S102/SUM(P102:S102)&gt;=0.5,"Battle Royale",IF(R102/SUM(P102:R102)&gt;=0.6,"Infantry-Heavy",IF((P102+0.7*Q102)/SUM(P102:R102)&gt;=0.7,"Vehicle-Heavy","Mixed"))))</f>
        <v/>
      </c>
    </row>
    <row r="103" spans="1:21" x14ac:dyDescent="0.25">
      <c r="B103">
        <v>1017</v>
      </c>
      <c r="U103" t="str">
        <f t="shared" si="19"/>
        <v/>
      </c>
    </row>
    <row r="104" spans="1:21" x14ac:dyDescent="0.25">
      <c r="B104">
        <v>1027</v>
      </c>
      <c r="U104" t="str">
        <f t="shared" si="19"/>
        <v/>
      </c>
    </row>
    <row r="105" spans="1:21" x14ac:dyDescent="0.25">
      <c r="B105">
        <v>1037</v>
      </c>
      <c r="U105" t="str">
        <f t="shared" si="19"/>
        <v/>
      </c>
    </row>
    <row r="106" spans="1:21" x14ac:dyDescent="0.25">
      <c r="B106">
        <v>1047</v>
      </c>
      <c r="U106" t="str">
        <f t="shared" si="19"/>
        <v/>
      </c>
    </row>
    <row r="107" spans="1:21" x14ac:dyDescent="0.25">
      <c r="B107">
        <v>1057</v>
      </c>
      <c r="U107" t="str">
        <f t="shared" si="19"/>
        <v/>
      </c>
    </row>
    <row r="108" spans="1:21" x14ac:dyDescent="0.25">
      <c r="B108">
        <v>1067</v>
      </c>
      <c r="U108" t="str">
        <f t="shared" si="19"/>
        <v/>
      </c>
    </row>
    <row r="109" spans="1:21" x14ac:dyDescent="0.25">
      <c r="B109">
        <v>1077</v>
      </c>
      <c r="U109" t="str">
        <f t="shared" si="19"/>
        <v/>
      </c>
    </row>
    <row r="110" spans="1:21" x14ac:dyDescent="0.25">
      <c r="B110">
        <v>1087</v>
      </c>
      <c r="U110" t="str">
        <f t="shared" si="19"/>
        <v/>
      </c>
    </row>
    <row r="111" spans="1:21" x14ac:dyDescent="0.25">
      <c r="B111">
        <v>1097</v>
      </c>
      <c r="U111" t="str">
        <f t="shared" si="19"/>
        <v/>
      </c>
    </row>
    <row r="112" spans="1:21" x14ac:dyDescent="0.25">
      <c r="B112">
        <v>1107</v>
      </c>
      <c r="U112" t="str">
        <f t="shared" si="19"/>
        <v/>
      </c>
    </row>
    <row r="113" spans="2:21" x14ac:dyDescent="0.25">
      <c r="B113">
        <v>1117</v>
      </c>
      <c r="U113" t="str">
        <f t="shared" si="19"/>
        <v/>
      </c>
    </row>
    <row r="114" spans="2:21" x14ac:dyDescent="0.25">
      <c r="B114">
        <v>1127</v>
      </c>
      <c r="U114" t="str">
        <f t="shared" si="19"/>
        <v/>
      </c>
    </row>
    <row r="115" spans="2:21" x14ac:dyDescent="0.25">
      <c r="B115">
        <v>1137</v>
      </c>
      <c r="U115" t="str">
        <f t="shared" si="19"/>
        <v/>
      </c>
    </row>
    <row r="116" spans="2:21" x14ac:dyDescent="0.25">
      <c r="B116">
        <v>1147</v>
      </c>
      <c r="U116" t="str">
        <f t="shared" si="19"/>
        <v/>
      </c>
    </row>
    <row r="117" spans="2:21" x14ac:dyDescent="0.25">
      <c r="B117">
        <v>1157</v>
      </c>
      <c r="U117" t="str">
        <f t="shared" si="19"/>
        <v/>
      </c>
    </row>
    <row r="118" spans="2:21" x14ac:dyDescent="0.25">
      <c r="B118">
        <v>1167</v>
      </c>
      <c r="U118" t="str">
        <f t="shared" si="19"/>
        <v/>
      </c>
    </row>
    <row r="119" spans="2:21" x14ac:dyDescent="0.25">
      <c r="B119">
        <v>1177</v>
      </c>
      <c r="U119" t="str">
        <f t="shared" si="19"/>
        <v/>
      </c>
    </row>
    <row r="120" spans="2:21" x14ac:dyDescent="0.25">
      <c r="B120">
        <v>1187</v>
      </c>
      <c r="U120" t="str">
        <f t="shared" si="19"/>
        <v/>
      </c>
    </row>
    <row r="121" spans="2:21" x14ac:dyDescent="0.25">
      <c r="B121">
        <v>1197</v>
      </c>
      <c r="U121" t="str">
        <f t="shared" si="19"/>
        <v/>
      </c>
    </row>
    <row r="122" spans="2:21" x14ac:dyDescent="0.25">
      <c r="B122">
        <v>1207</v>
      </c>
      <c r="U122" t="str">
        <f t="shared" si="19"/>
        <v/>
      </c>
    </row>
    <row r="123" spans="2:21" x14ac:dyDescent="0.25">
      <c r="B123">
        <v>1217</v>
      </c>
      <c r="U123" t="str">
        <f t="shared" si="19"/>
        <v/>
      </c>
    </row>
    <row r="124" spans="2:21" x14ac:dyDescent="0.25">
      <c r="B124">
        <v>1227</v>
      </c>
      <c r="U124" t="str">
        <f t="shared" si="19"/>
        <v/>
      </c>
    </row>
    <row r="125" spans="2:21" x14ac:dyDescent="0.25">
      <c r="B125">
        <v>1237</v>
      </c>
      <c r="U125" t="str">
        <f t="shared" si="19"/>
        <v/>
      </c>
    </row>
    <row r="126" spans="2:21" x14ac:dyDescent="0.25">
      <c r="B126">
        <v>1247</v>
      </c>
      <c r="U126" t="str">
        <f t="shared" si="19"/>
        <v/>
      </c>
    </row>
    <row r="127" spans="2:21" x14ac:dyDescent="0.25">
      <c r="B127">
        <v>1257</v>
      </c>
      <c r="U127" t="str">
        <f t="shared" si="19"/>
        <v/>
      </c>
    </row>
    <row r="128" spans="2:21" x14ac:dyDescent="0.25">
      <c r="B128">
        <v>1267</v>
      </c>
      <c r="U128" t="str">
        <f t="shared" si="19"/>
        <v/>
      </c>
    </row>
    <row r="129" spans="2:21" x14ac:dyDescent="0.25">
      <c r="B129">
        <v>1277</v>
      </c>
      <c r="U129" t="str">
        <f t="shared" si="19"/>
        <v/>
      </c>
    </row>
    <row r="130" spans="2:21" x14ac:dyDescent="0.25">
      <c r="B130">
        <v>1287</v>
      </c>
      <c r="U130" t="str">
        <f t="shared" si="19"/>
        <v/>
      </c>
    </row>
    <row r="131" spans="2:21" x14ac:dyDescent="0.25">
      <c r="B131">
        <v>1297</v>
      </c>
      <c r="U131" t="str">
        <f t="shared" si="19"/>
        <v/>
      </c>
    </row>
    <row r="132" spans="2:21" x14ac:dyDescent="0.25">
      <c r="B132">
        <v>1307</v>
      </c>
      <c r="U132" t="str">
        <f t="shared" si="19"/>
        <v/>
      </c>
    </row>
    <row r="133" spans="2:21" x14ac:dyDescent="0.25">
      <c r="B133">
        <v>1317</v>
      </c>
      <c r="U133" t="str">
        <f t="shared" si="19"/>
        <v/>
      </c>
    </row>
    <row r="134" spans="2:21" x14ac:dyDescent="0.25">
      <c r="B134">
        <v>1327</v>
      </c>
      <c r="U134" t="str">
        <f t="shared" si="19"/>
        <v/>
      </c>
    </row>
    <row r="135" spans="2:21" x14ac:dyDescent="0.25">
      <c r="B135">
        <v>1337</v>
      </c>
      <c r="U135" t="str">
        <f t="shared" si="19"/>
        <v/>
      </c>
    </row>
    <row r="136" spans="2:21" x14ac:dyDescent="0.25">
      <c r="B136">
        <v>1347</v>
      </c>
      <c r="U136" t="str">
        <f t="shared" si="19"/>
        <v/>
      </c>
    </row>
    <row r="137" spans="2:21" x14ac:dyDescent="0.25">
      <c r="B137">
        <v>1357</v>
      </c>
      <c r="U137" t="str">
        <f t="shared" si="19"/>
        <v/>
      </c>
    </row>
    <row r="138" spans="2:21" x14ac:dyDescent="0.25">
      <c r="B138">
        <v>1367</v>
      </c>
      <c r="U138" t="str">
        <f t="shared" si="19"/>
        <v/>
      </c>
    </row>
    <row r="139" spans="2:21" x14ac:dyDescent="0.25">
      <c r="B139">
        <v>1377</v>
      </c>
      <c r="U139" t="str">
        <f t="shared" si="19"/>
        <v/>
      </c>
    </row>
    <row r="140" spans="2:21" x14ac:dyDescent="0.25">
      <c r="B140">
        <v>1387</v>
      </c>
      <c r="U140" t="str">
        <f t="shared" si="19"/>
        <v/>
      </c>
    </row>
    <row r="141" spans="2:21" x14ac:dyDescent="0.25">
      <c r="B141">
        <v>1397</v>
      </c>
      <c r="U141" t="str">
        <f t="shared" ref="U141:U204" si="20">IF(SUM(P141:S141)=0,"",IF(S141/SUM(P141:S141)&gt;=0.5,"Battle Royale",IF(R141/SUM(P141:R141)&gt;=0.6,"Infantry-Heavy",IF((P141+0.7*Q141)/SUM(P141:R141)&gt;=0.7,"Vehicle-Heavy","Mixed"))))</f>
        <v/>
      </c>
    </row>
    <row r="142" spans="2:21" x14ac:dyDescent="0.25">
      <c r="B142">
        <v>1407</v>
      </c>
      <c r="U142" t="str">
        <f t="shared" si="20"/>
        <v/>
      </c>
    </row>
    <row r="143" spans="2:21" x14ac:dyDescent="0.25">
      <c r="B143">
        <v>1417</v>
      </c>
      <c r="U143" t="str">
        <f t="shared" si="20"/>
        <v/>
      </c>
    </row>
    <row r="144" spans="2:21" x14ac:dyDescent="0.25">
      <c r="B144">
        <v>1427</v>
      </c>
      <c r="U144" t="str">
        <f t="shared" si="20"/>
        <v/>
      </c>
    </row>
    <row r="145" spans="2:21" x14ac:dyDescent="0.25">
      <c r="B145">
        <v>1437</v>
      </c>
      <c r="U145" t="str">
        <f t="shared" si="20"/>
        <v/>
      </c>
    </row>
    <row r="146" spans="2:21" x14ac:dyDescent="0.25">
      <c r="B146">
        <v>1447</v>
      </c>
      <c r="U146" t="str">
        <f t="shared" si="20"/>
        <v/>
      </c>
    </row>
    <row r="147" spans="2:21" x14ac:dyDescent="0.25">
      <c r="B147">
        <v>1457</v>
      </c>
      <c r="U147" t="str">
        <f t="shared" si="20"/>
        <v/>
      </c>
    </row>
    <row r="148" spans="2:21" x14ac:dyDescent="0.25">
      <c r="B148">
        <v>1467</v>
      </c>
      <c r="U148" t="str">
        <f t="shared" si="20"/>
        <v/>
      </c>
    </row>
    <row r="149" spans="2:21" x14ac:dyDescent="0.25">
      <c r="B149">
        <v>1477</v>
      </c>
      <c r="U149" t="str">
        <f t="shared" si="20"/>
        <v/>
      </c>
    </row>
    <row r="150" spans="2:21" x14ac:dyDescent="0.25">
      <c r="B150">
        <v>1487</v>
      </c>
      <c r="U150" t="str">
        <f t="shared" si="20"/>
        <v/>
      </c>
    </row>
    <row r="151" spans="2:21" x14ac:dyDescent="0.25">
      <c r="B151">
        <v>1497</v>
      </c>
      <c r="U151" t="str">
        <f t="shared" si="20"/>
        <v/>
      </c>
    </row>
    <row r="152" spans="2:21" x14ac:dyDescent="0.25">
      <c r="B152">
        <v>1507</v>
      </c>
      <c r="U152" t="str">
        <f t="shared" si="20"/>
        <v/>
      </c>
    </row>
    <row r="153" spans="2:21" x14ac:dyDescent="0.25">
      <c r="B153">
        <v>1517</v>
      </c>
      <c r="U153" t="str">
        <f t="shared" si="20"/>
        <v/>
      </c>
    </row>
    <row r="154" spans="2:21" x14ac:dyDescent="0.25">
      <c r="B154">
        <v>1527</v>
      </c>
      <c r="U154" t="str">
        <f t="shared" si="20"/>
        <v/>
      </c>
    </row>
    <row r="155" spans="2:21" x14ac:dyDescent="0.25">
      <c r="B155">
        <v>1537</v>
      </c>
      <c r="U155" t="str">
        <f t="shared" si="20"/>
        <v/>
      </c>
    </row>
    <row r="156" spans="2:21" x14ac:dyDescent="0.25">
      <c r="B156">
        <v>1547</v>
      </c>
      <c r="U156" t="str">
        <f t="shared" si="20"/>
        <v/>
      </c>
    </row>
    <row r="157" spans="2:21" x14ac:dyDescent="0.25">
      <c r="B157">
        <v>1557</v>
      </c>
      <c r="U157" t="str">
        <f t="shared" si="20"/>
        <v/>
      </c>
    </row>
    <row r="158" spans="2:21" x14ac:dyDescent="0.25">
      <c r="B158">
        <v>1567</v>
      </c>
      <c r="U158" t="str">
        <f t="shared" si="20"/>
        <v/>
      </c>
    </row>
    <row r="159" spans="2:21" x14ac:dyDescent="0.25">
      <c r="B159">
        <v>1577</v>
      </c>
      <c r="U159" t="str">
        <f t="shared" si="20"/>
        <v/>
      </c>
    </row>
    <row r="160" spans="2:21" x14ac:dyDescent="0.25">
      <c r="B160">
        <v>1587</v>
      </c>
      <c r="U160" t="str">
        <f t="shared" si="20"/>
        <v/>
      </c>
    </row>
    <row r="161" spans="2:21" x14ac:dyDescent="0.25">
      <c r="B161">
        <v>1597</v>
      </c>
      <c r="U161" t="str">
        <f t="shared" si="20"/>
        <v/>
      </c>
    </row>
    <row r="162" spans="2:21" x14ac:dyDescent="0.25">
      <c r="B162">
        <v>1607</v>
      </c>
      <c r="U162" t="str">
        <f t="shared" si="20"/>
        <v/>
      </c>
    </row>
    <row r="163" spans="2:21" x14ac:dyDescent="0.25">
      <c r="B163">
        <v>1617</v>
      </c>
      <c r="U163" t="str">
        <f t="shared" si="20"/>
        <v/>
      </c>
    </row>
    <row r="164" spans="2:21" x14ac:dyDescent="0.25">
      <c r="B164">
        <v>1627</v>
      </c>
      <c r="U164" t="str">
        <f t="shared" si="20"/>
        <v/>
      </c>
    </row>
    <row r="165" spans="2:21" x14ac:dyDescent="0.25">
      <c r="B165">
        <v>1637</v>
      </c>
      <c r="U165" t="str">
        <f t="shared" si="20"/>
        <v/>
      </c>
    </row>
    <row r="166" spans="2:21" x14ac:dyDescent="0.25">
      <c r="B166">
        <v>1647</v>
      </c>
      <c r="U166" t="str">
        <f t="shared" si="20"/>
        <v/>
      </c>
    </row>
    <row r="167" spans="2:21" x14ac:dyDescent="0.25">
      <c r="B167">
        <v>1657</v>
      </c>
      <c r="U167" t="str">
        <f t="shared" si="20"/>
        <v/>
      </c>
    </row>
    <row r="168" spans="2:21" x14ac:dyDescent="0.25">
      <c r="B168">
        <v>1667</v>
      </c>
      <c r="U168" t="str">
        <f t="shared" si="20"/>
        <v/>
      </c>
    </row>
    <row r="169" spans="2:21" x14ac:dyDescent="0.25">
      <c r="B169">
        <v>1677</v>
      </c>
      <c r="U169" t="str">
        <f t="shared" si="20"/>
        <v/>
      </c>
    </row>
    <row r="170" spans="2:21" x14ac:dyDescent="0.25">
      <c r="B170">
        <v>1687</v>
      </c>
      <c r="U170" t="str">
        <f t="shared" si="20"/>
        <v/>
      </c>
    </row>
    <row r="171" spans="2:21" x14ac:dyDescent="0.25">
      <c r="B171">
        <v>1697</v>
      </c>
      <c r="U171" t="str">
        <f t="shared" si="20"/>
        <v/>
      </c>
    </row>
    <row r="172" spans="2:21" x14ac:dyDescent="0.25">
      <c r="B172">
        <v>1707</v>
      </c>
      <c r="U172" t="str">
        <f t="shared" si="20"/>
        <v/>
      </c>
    </row>
    <row r="173" spans="2:21" x14ac:dyDescent="0.25">
      <c r="B173">
        <v>1717</v>
      </c>
      <c r="U173" t="str">
        <f t="shared" si="20"/>
        <v/>
      </c>
    </row>
    <row r="174" spans="2:21" x14ac:dyDescent="0.25">
      <c r="B174">
        <v>1727</v>
      </c>
      <c r="U174" t="str">
        <f t="shared" si="20"/>
        <v/>
      </c>
    </row>
    <row r="175" spans="2:21" x14ac:dyDescent="0.25">
      <c r="B175">
        <v>1737</v>
      </c>
      <c r="U175" t="str">
        <f t="shared" si="20"/>
        <v/>
      </c>
    </row>
    <row r="176" spans="2:21" x14ac:dyDescent="0.25">
      <c r="B176">
        <v>1747</v>
      </c>
      <c r="U176" t="str">
        <f t="shared" si="20"/>
        <v/>
      </c>
    </row>
    <row r="177" spans="2:21" x14ac:dyDescent="0.25">
      <c r="B177">
        <v>1757</v>
      </c>
      <c r="U177" t="str">
        <f t="shared" si="20"/>
        <v/>
      </c>
    </row>
    <row r="178" spans="2:21" x14ac:dyDescent="0.25">
      <c r="B178">
        <v>1767</v>
      </c>
      <c r="U178" t="str">
        <f t="shared" si="20"/>
        <v/>
      </c>
    </row>
    <row r="179" spans="2:21" x14ac:dyDescent="0.25">
      <c r="B179">
        <v>1777</v>
      </c>
      <c r="U179" t="str">
        <f t="shared" si="20"/>
        <v/>
      </c>
    </row>
    <row r="180" spans="2:21" x14ac:dyDescent="0.25">
      <c r="B180">
        <v>1787</v>
      </c>
      <c r="U180" t="str">
        <f t="shared" si="20"/>
        <v/>
      </c>
    </row>
    <row r="181" spans="2:21" x14ac:dyDescent="0.25">
      <c r="B181">
        <v>1797</v>
      </c>
      <c r="U181" t="str">
        <f t="shared" si="20"/>
        <v/>
      </c>
    </row>
    <row r="182" spans="2:21" x14ac:dyDescent="0.25">
      <c r="B182">
        <v>1807</v>
      </c>
      <c r="U182" t="str">
        <f t="shared" si="20"/>
        <v/>
      </c>
    </row>
    <row r="183" spans="2:21" x14ac:dyDescent="0.25">
      <c r="B183">
        <v>1817</v>
      </c>
      <c r="U183" t="str">
        <f t="shared" si="20"/>
        <v/>
      </c>
    </row>
    <row r="184" spans="2:21" x14ac:dyDescent="0.25">
      <c r="B184">
        <v>1827</v>
      </c>
      <c r="U184" t="str">
        <f t="shared" si="20"/>
        <v/>
      </c>
    </row>
    <row r="185" spans="2:21" x14ac:dyDescent="0.25">
      <c r="B185">
        <v>1837</v>
      </c>
      <c r="U185" t="str">
        <f t="shared" si="20"/>
        <v/>
      </c>
    </row>
    <row r="186" spans="2:21" x14ac:dyDescent="0.25">
      <c r="B186">
        <v>1847</v>
      </c>
      <c r="U186" t="str">
        <f t="shared" si="20"/>
        <v/>
      </c>
    </row>
    <row r="187" spans="2:21" x14ac:dyDescent="0.25">
      <c r="B187">
        <v>1857</v>
      </c>
      <c r="U187" t="str">
        <f t="shared" si="20"/>
        <v/>
      </c>
    </row>
    <row r="188" spans="2:21" x14ac:dyDescent="0.25">
      <c r="B188">
        <v>1867</v>
      </c>
      <c r="U188" t="str">
        <f t="shared" si="20"/>
        <v/>
      </c>
    </row>
    <row r="189" spans="2:21" x14ac:dyDescent="0.25">
      <c r="B189">
        <v>1877</v>
      </c>
      <c r="U189" t="str">
        <f t="shared" si="20"/>
        <v/>
      </c>
    </row>
    <row r="190" spans="2:21" x14ac:dyDescent="0.25">
      <c r="B190">
        <v>1887</v>
      </c>
      <c r="U190" t="str">
        <f t="shared" si="20"/>
        <v/>
      </c>
    </row>
    <row r="191" spans="2:21" x14ac:dyDescent="0.25">
      <c r="B191">
        <v>1897</v>
      </c>
      <c r="U191" t="str">
        <f t="shared" si="20"/>
        <v/>
      </c>
    </row>
    <row r="192" spans="2:21" x14ac:dyDescent="0.25">
      <c r="B192">
        <v>1907</v>
      </c>
      <c r="U192" t="str">
        <f t="shared" si="20"/>
        <v/>
      </c>
    </row>
    <row r="193" spans="2:21" x14ac:dyDescent="0.25">
      <c r="B193">
        <v>1917</v>
      </c>
      <c r="U193" t="str">
        <f t="shared" si="20"/>
        <v/>
      </c>
    </row>
    <row r="194" spans="2:21" x14ac:dyDescent="0.25">
      <c r="B194">
        <v>1927</v>
      </c>
      <c r="U194" t="str">
        <f t="shared" si="20"/>
        <v/>
      </c>
    </row>
    <row r="195" spans="2:21" x14ac:dyDescent="0.25">
      <c r="B195">
        <v>1937</v>
      </c>
      <c r="U195" t="str">
        <f t="shared" si="20"/>
        <v/>
      </c>
    </row>
    <row r="196" spans="2:21" x14ac:dyDescent="0.25">
      <c r="B196">
        <v>1947</v>
      </c>
      <c r="U196" t="str">
        <f t="shared" si="20"/>
        <v/>
      </c>
    </row>
    <row r="197" spans="2:21" x14ac:dyDescent="0.25">
      <c r="B197">
        <v>1957</v>
      </c>
      <c r="U197" t="str">
        <f t="shared" si="20"/>
        <v/>
      </c>
    </row>
    <row r="198" spans="2:21" x14ac:dyDescent="0.25">
      <c r="B198">
        <v>1967</v>
      </c>
      <c r="U198" t="str">
        <f t="shared" si="20"/>
        <v/>
      </c>
    </row>
    <row r="199" spans="2:21" x14ac:dyDescent="0.25">
      <c r="B199">
        <v>1977</v>
      </c>
      <c r="U199" t="str">
        <f t="shared" si="20"/>
        <v/>
      </c>
    </row>
    <row r="200" spans="2:21" x14ac:dyDescent="0.25">
      <c r="B200">
        <v>1987</v>
      </c>
      <c r="U200" t="str">
        <f t="shared" si="20"/>
        <v/>
      </c>
    </row>
    <row r="201" spans="2:21" x14ac:dyDescent="0.25">
      <c r="B201">
        <v>1997</v>
      </c>
      <c r="U201" t="str">
        <f t="shared" si="20"/>
        <v/>
      </c>
    </row>
    <row r="202" spans="2:21" x14ac:dyDescent="0.25">
      <c r="B202">
        <v>2007</v>
      </c>
      <c r="U202" t="str">
        <f t="shared" si="20"/>
        <v/>
      </c>
    </row>
    <row r="203" spans="2:21" x14ac:dyDescent="0.25">
      <c r="B203">
        <v>2017</v>
      </c>
      <c r="U203" t="str">
        <f t="shared" si="20"/>
        <v/>
      </c>
    </row>
    <row r="204" spans="2:21" x14ac:dyDescent="0.25">
      <c r="B204">
        <v>2027</v>
      </c>
      <c r="U204" t="str">
        <f t="shared" si="20"/>
        <v/>
      </c>
    </row>
    <row r="205" spans="2:21" x14ac:dyDescent="0.25">
      <c r="B205">
        <v>2037</v>
      </c>
      <c r="U205" t="str">
        <f t="shared" ref="U205:U268" si="21">IF(SUM(P205:S205)=0,"",IF(S205/SUM(P205:S205)&gt;=0.5,"Battle Royale",IF(R205/SUM(P205:R205)&gt;=0.6,"Infantry-Heavy",IF((P205+0.7*Q205)/SUM(P205:R205)&gt;=0.7,"Vehicle-Heavy","Mixed"))))</f>
        <v/>
      </c>
    </row>
    <row r="206" spans="2:21" x14ac:dyDescent="0.25">
      <c r="B206">
        <v>2047</v>
      </c>
      <c r="U206" t="str">
        <f t="shared" si="21"/>
        <v/>
      </c>
    </row>
    <row r="207" spans="2:21" x14ac:dyDescent="0.25">
      <c r="B207">
        <v>2057</v>
      </c>
      <c r="U207" t="str">
        <f t="shared" si="21"/>
        <v/>
      </c>
    </row>
    <row r="208" spans="2:21" x14ac:dyDescent="0.25">
      <c r="B208">
        <v>2067</v>
      </c>
      <c r="U208" t="str">
        <f t="shared" si="21"/>
        <v/>
      </c>
    </row>
    <row r="209" spans="2:21" x14ac:dyDescent="0.25">
      <c r="B209">
        <v>2077</v>
      </c>
      <c r="U209" t="str">
        <f t="shared" si="21"/>
        <v/>
      </c>
    </row>
    <row r="210" spans="2:21" x14ac:dyDescent="0.25">
      <c r="B210">
        <v>2087</v>
      </c>
      <c r="U210" t="str">
        <f t="shared" si="21"/>
        <v/>
      </c>
    </row>
    <row r="211" spans="2:21" x14ac:dyDescent="0.25">
      <c r="B211">
        <v>2097</v>
      </c>
      <c r="U211" t="str">
        <f t="shared" si="21"/>
        <v/>
      </c>
    </row>
    <row r="212" spans="2:21" x14ac:dyDescent="0.25">
      <c r="B212">
        <v>2107</v>
      </c>
      <c r="U212" t="str">
        <f t="shared" si="21"/>
        <v/>
      </c>
    </row>
    <row r="213" spans="2:21" x14ac:dyDescent="0.25">
      <c r="B213">
        <v>2117</v>
      </c>
      <c r="U213" t="str">
        <f t="shared" si="21"/>
        <v/>
      </c>
    </row>
    <row r="214" spans="2:21" x14ac:dyDescent="0.25">
      <c r="B214">
        <v>2127</v>
      </c>
      <c r="U214" t="str">
        <f t="shared" si="21"/>
        <v/>
      </c>
    </row>
    <row r="215" spans="2:21" x14ac:dyDescent="0.25">
      <c r="B215">
        <v>2137</v>
      </c>
      <c r="U215" t="str">
        <f t="shared" si="21"/>
        <v/>
      </c>
    </row>
    <row r="216" spans="2:21" x14ac:dyDescent="0.25">
      <c r="B216">
        <v>2147</v>
      </c>
      <c r="U216" t="str">
        <f t="shared" si="21"/>
        <v/>
      </c>
    </row>
    <row r="217" spans="2:21" x14ac:dyDescent="0.25">
      <c r="B217">
        <v>2157</v>
      </c>
      <c r="U217" t="str">
        <f t="shared" si="21"/>
        <v/>
      </c>
    </row>
    <row r="218" spans="2:21" x14ac:dyDescent="0.25">
      <c r="B218">
        <v>2167</v>
      </c>
      <c r="U218" t="str">
        <f t="shared" si="21"/>
        <v/>
      </c>
    </row>
    <row r="219" spans="2:21" x14ac:dyDescent="0.25">
      <c r="B219">
        <v>2177</v>
      </c>
      <c r="U219" t="str">
        <f t="shared" si="21"/>
        <v/>
      </c>
    </row>
    <row r="220" spans="2:21" x14ac:dyDescent="0.25">
      <c r="B220">
        <v>2187</v>
      </c>
      <c r="U220" t="str">
        <f t="shared" si="21"/>
        <v/>
      </c>
    </row>
    <row r="221" spans="2:21" x14ac:dyDescent="0.25">
      <c r="B221">
        <v>2197</v>
      </c>
      <c r="U221" t="str">
        <f t="shared" si="21"/>
        <v/>
      </c>
    </row>
    <row r="222" spans="2:21" x14ac:dyDescent="0.25">
      <c r="B222">
        <v>2207</v>
      </c>
      <c r="U222" t="str">
        <f t="shared" si="21"/>
        <v/>
      </c>
    </row>
    <row r="223" spans="2:21" x14ac:dyDescent="0.25">
      <c r="B223">
        <v>2217</v>
      </c>
      <c r="U223" t="str">
        <f t="shared" si="21"/>
        <v/>
      </c>
    </row>
    <row r="224" spans="2:21" x14ac:dyDescent="0.25">
      <c r="B224">
        <v>2227</v>
      </c>
      <c r="U224" t="str">
        <f t="shared" si="21"/>
        <v/>
      </c>
    </row>
    <row r="225" spans="2:21" x14ac:dyDescent="0.25">
      <c r="B225">
        <v>2237</v>
      </c>
      <c r="U225" t="str">
        <f t="shared" si="21"/>
        <v/>
      </c>
    </row>
    <row r="226" spans="2:21" x14ac:dyDescent="0.25">
      <c r="B226">
        <v>2247</v>
      </c>
      <c r="U226" t="str">
        <f t="shared" si="21"/>
        <v/>
      </c>
    </row>
    <row r="227" spans="2:21" x14ac:dyDescent="0.25">
      <c r="B227">
        <v>2257</v>
      </c>
      <c r="U227" t="str">
        <f t="shared" si="21"/>
        <v/>
      </c>
    </row>
    <row r="228" spans="2:21" x14ac:dyDescent="0.25">
      <c r="B228">
        <v>2267</v>
      </c>
      <c r="U228" t="str">
        <f t="shared" si="21"/>
        <v/>
      </c>
    </row>
    <row r="229" spans="2:21" x14ac:dyDescent="0.25">
      <c r="B229">
        <v>2277</v>
      </c>
      <c r="U229" t="str">
        <f t="shared" si="21"/>
        <v/>
      </c>
    </row>
    <row r="230" spans="2:21" x14ac:dyDescent="0.25">
      <c r="B230">
        <v>2287</v>
      </c>
      <c r="U230" t="str">
        <f t="shared" si="21"/>
        <v/>
      </c>
    </row>
    <row r="231" spans="2:21" x14ac:dyDescent="0.25">
      <c r="B231">
        <v>2297</v>
      </c>
      <c r="U231" t="str">
        <f t="shared" si="21"/>
        <v/>
      </c>
    </row>
    <row r="232" spans="2:21" x14ac:dyDescent="0.25">
      <c r="B232">
        <v>2307</v>
      </c>
      <c r="U232" t="str">
        <f t="shared" si="21"/>
        <v/>
      </c>
    </row>
    <row r="233" spans="2:21" x14ac:dyDescent="0.25">
      <c r="B233">
        <v>2317</v>
      </c>
      <c r="U233" t="str">
        <f t="shared" si="21"/>
        <v/>
      </c>
    </row>
    <row r="234" spans="2:21" x14ac:dyDescent="0.25">
      <c r="B234">
        <v>2327</v>
      </c>
      <c r="U234" t="str">
        <f t="shared" si="21"/>
        <v/>
      </c>
    </row>
    <row r="235" spans="2:21" x14ac:dyDescent="0.25">
      <c r="B235">
        <v>2337</v>
      </c>
      <c r="U235" t="str">
        <f t="shared" si="21"/>
        <v/>
      </c>
    </row>
    <row r="236" spans="2:21" x14ac:dyDescent="0.25">
      <c r="B236">
        <v>2347</v>
      </c>
      <c r="U236" t="str">
        <f t="shared" si="21"/>
        <v/>
      </c>
    </row>
    <row r="237" spans="2:21" x14ac:dyDescent="0.25">
      <c r="B237">
        <v>2357</v>
      </c>
      <c r="U237" t="str">
        <f t="shared" si="21"/>
        <v/>
      </c>
    </row>
    <row r="238" spans="2:21" x14ac:dyDescent="0.25">
      <c r="B238">
        <v>2367</v>
      </c>
      <c r="U238" t="str">
        <f t="shared" si="21"/>
        <v/>
      </c>
    </row>
    <row r="239" spans="2:21" x14ac:dyDescent="0.25">
      <c r="B239">
        <v>2377</v>
      </c>
      <c r="U239" t="str">
        <f t="shared" si="21"/>
        <v/>
      </c>
    </row>
    <row r="240" spans="2:21" x14ac:dyDescent="0.25">
      <c r="B240">
        <v>2387</v>
      </c>
      <c r="U240" t="str">
        <f t="shared" si="21"/>
        <v/>
      </c>
    </row>
    <row r="241" spans="2:21" x14ac:dyDescent="0.25">
      <c r="B241">
        <v>2397</v>
      </c>
      <c r="U241" t="str">
        <f t="shared" si="21"/>
        <v/>
      </c>
    </row>
    <row r="242" spans="2:21" x14ac:dyDescent="0.25">
      <c r="B242">
        <v>2407</v>
      </c>
      <c r="U242" t="str">
        <f t="shared" si="21"/>
        <v/>
      </c>
    </row>
    <row r="243" spans="2:21" x14ac:dyDescent="0.25">
      <c r="B243">
        <v>2417</v>
      </c>
      <c r="U243" t="str">
        <f t="shared" si="21"/>
        <v/>
      </c>
    </row>
    <row r="244" spans="2:21" x14ac:dyDescent="0.25">
      <c r="B244">
        <v>2427</v>
      </c>
      <c r="U244" t="str">
        <f t="shared" si="21"/>
        <v/>
      </c>
    </row>
    <row r="245" spans="2:21" x14ac:dyDescent="0.25">
      <c r="B245">
        <v>2437</v>
      </c>
      <c r="U245" t="str">
        <f t="shared" si="21"/>
        <v/>
      </c>
    </row>
    <row r="246" spans="2:21" x14ac:dyDescent="0.25">
      <c r="B246">
        <v>2447</v>
      </c>
      <c r="U246" t="str">
        <f t="shared" si="21"/>
        <v/>
      </c>
    </row>
    <row r="247" spans="2:21" x14ac:dyDescent="0.25">
      <c r="B247">
        <v>2457</v>
      </c>
      <c r="U247" t="str">
        <f t="shared" si="21"/>
        <v/>
      </c>
    </row>
    <row r="248" spans="2:21" x14ac:dyDescent="0.25">
      <c r="B248">
        <v>2467</v>
      </c>
      <c r="U248" t="str">
        <f t="shared" si="21"/>
        <v/>
      </c>
    </row>
    <row r="249" spans="2:21" x14ac:dyDescent="0.25">
      <c r="B249">
        <v>2477</v>
      </c>
      <c r="U249" t="str">
        <f t="shared" si="21"/>
        <v/>
      </c>
    </row>
    <row r="250" spans="2:21" x14ac:dyDescent="0.25">
      <c r="B250">
        <v>2487</v>
      </c>
      <c r="U250" t="str">
        <f t="shared" si="21"/>
        <v/>
      </c>
    </row>
    <row r="251" spans="2:21" x14ac:dyDescent="0.25">
      <c r="B251">
        <v>2497</v>
      </c>
      <c r="U251" t="str">
        <f t="shared" si="21"/>
        <v/>
      </c>
    </row>
    <row r="252" spans="2:21" x14ac:dyDescent="0.25">
      <c r="B252">
        <v>2507</v>
      </c>
      <c r="U252" t="str">
        <f t="shared" si="21"/>
        <v/>
      </c>
    </row>
    <row r="253" spans="2:21" x14ac:dyDescent="0.25">
      <c r="B253">
        <v>2517</v>
      </c>
      <c r="U253" t="str">
        <f t="shared" si="21"/>
        <v/>
      </c>
    </row>
    <row r="254" spans="2:21" x14ac:dyDescent="0.25">
      <c r="B254">
        <v>2527</v>
      </c>
      <c r="U254" t="str">
        <f t="shared" si="21"/>
        <v/>
      </c>
    </row>
    <row r="255" spans="2:21" x14ac:dyDescent="0.25">
      <c r="B255">
        <v>2537</v>
      </c>
      <c r="U255" t="str">
        <f t="shared" si="21"/>
        <v/>
      </c>
    </row>
    <row r="256" spans="2:21" x14ac:dyDescent="0.25">
      <c r="B256">
        <v>2547</v>
      </c>
      <c r="U256" t="str">
        <f t="shared" si="21"/>
        <v/>
      </c>
    </row>
    <row r="257" spans="2:21" x14ac:dyDescent="0.25">
      <c r="B257">
        <v>2557</v>
      </c>
      <c r="U257" t="str">
        <f t="shared" si="21"/>
        <v/>
      </c>
    </row>
    <row r="258" spans="2:21" x14ac:dyDescent="0.25">
      <c r="B258">
        <v>2567</v>
      </c>
      <c r="U258" t="str">
        <f t="shared" si="21"/>
        <v/>
      </c>
    </row>
    <row r="259" spans="2:21" x14ac:dyDescent="0.25">
      <c r="B259">
        <v>2577</v>
      </c>
      <c r="U259" t="str">
        <f t="shared" si="21"/>
        <v/>
      </c>
    </row>
    <row r="260" spans="2:21" x14ac:dyDescent="0.25">
      <c r="B260">
        <v>2587</v>
      </c>
      <c r="U260" t="str">
        <f t="shared" si="21"/>
        <v/>
      </c>
    </row>
    <row r="261" spans="2:21" x14ac:dyDescent="0.25">
      <c r="B261">
        <v>2597</v>
      </c>
      <c r="U261" t="str">
        <f t="shared" si="21"/>
        <v/>
      </c>
    </row>
    <row r="262" spans="2:21" x14ac:dyDescent="0.25">
      <c r="B262">
        <v>2607</v>
      </c>
      <c r="U262" t="str">
        <f t="shared" si="21"/>
        <v/>
      </c>
    </row>
    <row r="263" spans="2:21" x14ac:dyDescent="0.25">
      <c r="B263">
        <v>2617</v>
      </c>
      <c r="U263" t="str">
        <f t="shared" si="21"/>
        <v/>
      </c>
    </row>
    <row r="264" spans="2:21" x14ac:dyDescent="0.25">
      <c r="B264">
        <v>2627</v>
      </c>
      <c r="U264" t="str">
        <f t="shared" si="21"/>
        <v/>
      </c>
    </row>
    <row r="265" spans="2:21" x14ac:dyDescent="0.25">
      <c r="B265">
        <v>2637</v>
      </c>
      <c r="U265" t="str">
        <f t="shared" si="21"/>
        <v/>
      </c>
    </row>
    <row r="266" spans="2:21" x14ac:dyDescent="0.25">
      <c r="B266">
        <v>2647</v>
      </c>
      <c r="U266" t="str">
        <f t="shared" si="21"/>
        <v/>
      </c>
    </row>
    <row r="267" spans="2:21" x14ac:dyDescent="0.25">
      <c r="B267">
        <v>2657</v>
      </c>
      <c r="U267" t="str">
        <f t="shared" si="21"/>
        <v/>
      </c>
    </row>
    <row r="268" spans="2:21" x14ac:dyDescent="0.25">
      <c r="B268">
        <v>2667</v>
      </c>
      <c r="U268" t="str">
        <f t="shared" si="21"/>
        <v/>
      </c>
    </row>
    <row r="269" spans="2:21" x14ac:dyDescent="0.25">
      <c r="B269">
        <v>2677</v>
      </c>
      <c r="U269" t="str">
        <f t="shared" ref="U269:U332" si="22">IF(SUM(P269:S269)=0,"",IF(S269/SUM(P269:S269)&gt;=0.5,"Battle Royale",IF(R269/SUM(P269:R269)&gt;=0.6,"Infantry-Heavy",IF((P269+0.7*Q269)/SUM(P269:R269)&gt;=0.7,"Vehicle-Heavy","Mixed"))))</f>
        <v/>
      </c>
    </row>
    <row r="270" spans="2:21" x14ac:dyDescent="0.25">
      <c r="B270">
        <v>2687</v>
      </c>
      <c r="U270" t="str">
        <f t="shared" si="22"/>
        <v/>
      </c>
    </row>
    <row r="271" spans="2:21" x14ac:dyDescent="0.25">
      <c r="B271">
        <v>2697</v>
      </c>
      <c r="U271" t="str">
        <f t="shared" si="22"/>
        <v/>
      </c>
    </row>
    <row r="272" spans="2:21" x14ac:dyDescent="0.25">
      <c r="B272">
        <v>2707</v>
      </c>
      <c r="U272" t="str">
        <f t="shared" si="22"/>
        <v/>
      </c>
    </row>
    <row r="273" spans="2:21" x14ac:dyDescent="0.25">
      <c r="B273">
        <v>2717</v>
      </c>
      <c r="U273" t="str">
        <f t="shared" si="22"/>
        <v/>
      </c>
    </row>
    <row r="274" spans="2:21" x14ac:dyDescent="0.25">
      <c r="B274">
        <v>2727</v>
      </c>
      <c r="U274" t="str">
        <f t="shared" si="22"/>
        <v/>
      </c>
    </row>
    <row r="275" spans="2:21" x14ac:dyDescent="0.25">
      <c r="B275">
        <v>2737</v>
      </c>
      <c r="U275" t="str">
        <f t="shared" si="22"/>
        <v/>
      </c>
    </row>
    <row r="276" spans="2:21" x14ac:dyDescent="0.25">
      <c r="B276">
        <v>2747</v>
      </c>
      <c r="U276" t="str">
        <f t="shared" si="22"/>
        <v/>
      </c>
    </row>
    <row r="277" spans="2:21" x14ac:dyDescent="0.25">
      <c r="B277">
        <v>2757</v>
      </c>
      <c r="U277" t="str">
        <f t="shared" si="22"/>
        <v/>
      </c>
    </row>
    <row r="278" spans="2:21" x14ac:dyDescent="0.25">
      <c r="B278">
        <v>2767</v>
      </c>
      <c r="U278" t="str">
        <f t="shared" si="22"/>
        <v/>
      </c>
    </row>
    <row r="279" spans="2:21" x14ac:dyDescent="0.25">
      <c r="B279">
        <v>2777</v>
      </c>
      <c r="U279" t="str">
        <f t="shared" si="22"/>
        <v/>
      </c>
    </row>
    <row r="280" spans="2:21" x14ac:dyDescent="0.25">
      <c r="B280">
        <v>2787</v>
      </c>
      <c r="U280" t="str">
        <f t="shared" si="22"/>
        <v/>
      </c>
    </row>
    <row r="281" spans="2:21" x14ac:dyDescent="0.25">
      <c r="B281">
        <v>2797</v>
      </c>
      <c r="U281" t="str">
        <f t="shared" si="22"/>
        <v/>
      </c>
    </row>
    <row r="282" spans="2:21" x14ac:dyDescent="0.25">
      <c r="B282">
        <v>2807</v>
      </c>
      <c r="U282" t="str">
        <f t="shared" si="22"/>
        <v/>
      </c>
    </row>
    <row r="283" spans="2:21" x14ac:dyDescent="0.25">
      <c r="B283">
        <v>2817</v>
      </c>
      <c r="U283" t="str">
        <f t="shared" si="22"/>
        <v/>
      </c>
    </row>
    <row r="284" spans="2:21" x14ac:dyDescent="0.25">
      <c r="B284">
        <v>2827</v>
      </c>
      <c r="U284" t="str">
        <f t="shared" si="22"/>
        <v/>
      </c>
    </row>
    <row r="285" spans="2:21" x14ac:dyDescent="0.25">
      <c r="B285">
        <v>2837</v>
      </c>
      <c r="U285" t="str">
        <f t="shared" si="22"/>
        <v/>
      </c>
    </row>
    <row r="286" spans="2:21" x14ac:dyDescent="0.25">
      <c r="B286">
        <v>2847</v>
      </c>
      <c r="U286" t="str">
        <f t="shared" si="22"/>
        <v/>
      </c>
    </row>
    <row r="287" spans="2:21" x14ac:dyDescent="0.25">
      <c r="B287">
        <v>2857</v>
      </c>
      <c r="U287" t="str">
        <f t="shared" si="22"/>
        <v/>
      </c>
    </row>
    <row r="288" spans="2:21" x14ac:dyDescent="0.25">
      <c r="B288">
        <v>2867</v>
      </c>
      <c r="U288" t="str">
        <f t="shared" si="22"/>
        <v/>
      </c>
    </row>
    <row r="289" spans="2:21" x14ac:dyDescent="0.25">
      <c r="B289">
        <v>2877</v>
      </c>
      <c r="U289" t="str">
        <f t="shared" si="22"/>
        <v/>
      </c>
    </row>
    <row r="290" spans="2:21" x14ac:dyDescent="0.25">
      <c r="B290">
        <v>2887</v>
      </c>
      <c r="U290" t="str">
        <f t="shared" si="22"/>
        <v/>
      </c>
    </row>
    <row r="291" spans="2:21" x14ac:dyDescent="0.25">
      <c r="B291">
        <v>2897</v>
      </c>
      <c r="U291" t="str">
        <f t="shared" si="22"/>
        <v/>
      </c>
    </row>
    <row r="292" spans="2:21" x14ac:dyDescent="0.25">
      <c r="B292">
        <v>2907</v>
      </c>
      <c r="U292" t="str">
        <f t="shared" si="22"/>
        <v/>
      </c>
    </row>
    <row r="293" spans="2:21" x14ac:dyDescent="0.25">
      <c r="B293">
        <v>2917</v>
      </c>
      <c r="U293" t="str">
        <f t="shared" si="22"/>
        <v/>
      </c>
    </row>
    <row r="294" spans="2:21" x14ac:dyDescent="0.25">
      <c r="B294">
        <v>2927</v>
      </c>
      <c r="U294" t="str">
        <f t="shared" si="22"/>
        <v/>
      </c>
    </row>
    <row r="295" spans="2:21" x14ac:dyDescent="0.25">
      <c r="B295">
        <v>2937</v>
      </c>
      <c r="U295" t="str">
        <f t="shared" si="22"/>
        <v/>
      </c>
    </row>
    <row r="296" spans="2:21" x14ac:dyDescent="0.25">
      <c r="B296">
        <v>2947</v>
      </c>
      <c r="U296" t="str">
        <f t="shared" si="22"/>
        <v/>
      </c>
    </row>
    <row r="297" spans="2:21" x14ac:dyDescent="0.25">
      <c r="B297">
        <v>2957</v>
      </c>
      <c r="U297" t="str">
        <f t="shared" si="22"/>
        <v/>
      </c>
    </row>
    <row r="298" spans="2:21" x14ac:dyDescent="0.25">
      <c r="B298">
        <v>2967</v>
      </c>
      <c r="U298" t="str">
        <f t="shared" si="22"/>
        <v/>
      </c>
    </row>
    <row r="299" spans="2:21" x14ac:dyDescent="0.25">
      <c r="B299">
        <v>2977</v>
      </c>
      <c r="U299" t="str">
        <f t="shared" si="22"/>
        <v/>
      </c>
    </row>
    <row r="300" spans="2:21" x14ac:dyDescent="0.25">
      <c r="B300">
        <v>2987</v>
      </c>
      <c r="U300" t="str">
        <f t="shared" si="22"/>
        <v/>
      </c>
    </row>
    <row r="301" spans="2:21" x14ac:dyDescent="0.25">
      <c r="B301">
        <v>2997</v>
      </c>
      <c r="U301" t="str">
        <f t="shared" si="22"/>
        <v/>
      </c>
    </row>
    <row r="302" spans="2:21" x14ac:dyDescent="0.25">
      <c r="B302">
        <v>3007</v>
      </c>
      <c r="U302" t="str">
        <f t="shared" si="22"/>
        <v/>
      </c>
    </row>
    <row r="303" spans="2:21" x14ac:dyDescent="0.25">
      <c r="B303">
        <v>3017</v>
      </c>
      <c r="U303" t="str">
        <f t="shared" si="22"/>
        <v/>
      </c>
    </row>
    <row r="304" spans="2:21" x14ac:dyDescent="0.25">
      <c r="B304">
        <v>3027</v>
      </c>
      <c r="U304" t="str">
        <f t="shared" si="22"/>
        <v/>
      </c>
    </row>
    <row r="305" spans="2:21" x14ac:dyDescent="0.25">
      <c r="B305">
        <v>3037</v>
      </c>
      <c r="U305" t="str">
        <f t="shared" si="22"/>
        <v/>
      </c>
    </row>
    <row r="306" spans="2:21" x14ac:dyDescent="0.25">
      <c r="B306">
        <v>3047</v>
      </c>
      <c r="U306" t="str">
        <f t="shared" si="22"/>
        <v/>
      </c>
    </row>
    <row r="307" spans="2:21" x14ac:dyDescent="0.25">
      <c r="B307">
        <v>3057</v>
      </c>
      <c r="U307" t="str">
        <f t="shared" si="22"/>
        <v/>
      </c>
    </row>
    <row r="308" spans="2:21" x14ac:dyDescent="0.25">
      <c r="B308">
        <v>3067</v>
      </c>
      <c r="U308" t="str">
        <f t="shared" si="22"/>
        <v/>
      </c>
    </row>
    <row r="309" spans="2:21" x14ac:dyDescent="0.25">
      <c r="B309">
        <v>3077</v>
      </c>
      <c r="U309" t="str">
        <f t="shared" si="22"/>
        <v/>
      </c>
    </row>
    <row r="310" spans="2:21" x14ac:dyDescent="0.25">
      <c r="B310">
        <v>3087</v>
      </c>
      <c r="U310" t="str">
        <f t="shared" si="22"/>
        <v/>
      </c>
    </row>
    <row r="311" spans="2:21" x14ac:dyDescent="0.25">
      <c r="B311">
        <v>3097</v>
      </c>
      <c r="U311" t="str">
        <f t="shared" si="22"/>
        <v/>
      </c>
    </row>
    <row r="312" spans="2:21" x14ac:dyDescent="0.25">
      <c r="B312">
        <v>3107</v>
      </c>
      <c r="U312" t="str">
        <f t="shared" si="22"/>
        <v/>
      </c>
    </row>
    <row r="313" spans="2:21" x14ac:dyDescent="0.25">
      <c r="B313">
        <v>3117</v>
      </c>
      <c r="U313" t="str">
        <f t="shared" si="22"/>
        <v/>
      </c>
    </row>
    <row r="314" spans="2:21" x14ac:dyDescent="0.25">
      <c r="B314">
        <v>3127</v>
      </c>
      <c r="U314" t="str">
        <f t="shared" si="22"/>
        <v/>
      </c>
    </row>
    <row r="315" spans="2:21" x14ac:dyDescent="0.25">
      <c r="B315">
        <v>3137</v>
      </c>
      <c r="U315" t="str">
        <f t="shared" si="22"/>
        <v/>
      </c>
    </row>
    <row r="316" spans="2:21" x14ac:dyDescent="0.25">
      <c r="B316">
        <v>3147</v>
      </c>
      <c r="U316" t="str">
        <f t="shared" si="22"/>
        <v/>
      </c>
    </row>
    <row r="317" spans="2:21" x14ac:dyDescent="0.25">
      <c r="B317">
        <v>3157</v>
      </c>
      <c r="U317" t="str">
        <f t="shared" si="22"/>
        <v/>
      </c>
    </row>
    <row r="318" spans="2:21" x14ac:dyDescent="0.25">
      <c r="B318">
        <v>3167</v>
      </c>
      <c r="U318" t="str">
        <f t="shared" si="22"/>
        <v/>
      </c>
    </row>
    <row r="319" spans="2:21" x14ac:dyDescent="0.25">
      <c r="B319">
        <v>3177</v>
      </c>
      <c r="U319" t="str">
        <f t="shared" si="22"/>
        <v/>
      </c>
    </row>
    <row r="320" spans="2:21" x14ac:dyDescent="0.25">
      <c r="B320">
        <v>3187</v>
      </c>
      <c r="U320" t="str">
        <f t="shared" si="22"/>
        <v/>
      </c>
    </row>
    <row r="321" spans="2:21" x14ac:dyDescent="0.25">
      <c r="B321">
        <v>3197</v>
      </c>
      <c r="U321" t="str">
        <f t="shared" si="22"/>
        <v/>
      </c>
    </row>
    <row r="322" spans="2:21" x14ac:dyDescent="0.25">
      <c r="B322">
        <v>3207</v>
      </c>
      <c r="U322" t="str">
        <f t="shared" si="22"/>
        <v/>
      </c>
    </row>
    <row r="323" spans="2:21" x14ac:dyDescent="0.25">
      <c r="B323">
        <v>3217</v>
      </c>
      <c r="U323" t="str">
        <f t="shared" si="22"/>
        <v/>
      </c>
    </row>
    <row r="324" spans="2:21" x14ac:dyDescent="0.25">
      <c r="B324">
        <v>3227</v>
      </c>
      <c r="U324" t="str">
        <f t="shared" si="22"/>
        <v/>
      </c>
    </row>
    <row r="325" spans="2:21" x14ac:dyDescent="0.25">
      <c r="B325">
        <v>3237</v>
      </c>
      <c r="U325" t="str">
        <f t="shared" si="22"/>
        <v/>
      </c>
    </row>
    <row r="326" spans="2:21" x14ac:dyDescent="0.25">
      <c r="B326">
        <v>3247</v>
      </c>
      <c r="U326" t="str">
        <f t="shared" si="22"/>
        <v/>
      </c>
    </row>
    <row r="327" spans="2:21" x14ac:dyDescent="0.25">
      <c r="B327">
        <v>3257</v>
      </c>
      <c r="U327" t="str">
        <f t="shared" si="22"/>
        <v/>
      </c>
    </row>
    <row r="328" spans="2:21" x14ac:dyDescent="0.25">
      <c r="B328">
        <v>3267</v>
      </c>
      <c r="U328" t="str">
        <f t="shared" si="22"/>
        <v/>
      </c>
    </row>
    <row r="329" spans="2:21" x14ac:dyDescent="0.25">
      <c r="B329">
        <v>3277</v>
      </c>
      <c r="U329" t="str">
        <f t="shared" si="22"/>
        <v/>
      </c>
    </row>
    <row r="330" spans="2:21" x14ac:dyDescent="0.25">
      <c r="B330">
        <v>3287</v>
      </c>
      <c r="U330" t="str">
        <f t="shared" si="22"/>
        <v/>
      </c>
    </row>
    <row r="331" spans="2:21" x14ac:dyDescent="0.25">
      <c r="B331">
        <v>3297</v>
      </c>
      <c r="U331" t="str">
        <f t="shared" si="22"/>
        <v/>
      </c>
    </row>
    <row r="332" spans="2:21" x14ac:dyDescent="0.25">
      <c r="B332">
        <v>3307</v>
      </c>
      <c r="U332" t="str">
        <f t="shared" si="22"/>
        <v/>
      </c>
    </row>
    <row r="333" spans="2:21" x14ac:dyDescent="0.25">
      <c r="B333">
        <v>3317</v>
      </c>
      <c r="U333" t="str">
        <f t="shared" ref="U333:U396" si="23">IF(SUM(P333:S333)=0,"",IF(S333/SUM(P333:S333)&gt;=0.5,"Battle Royale",IF(R333/SUM(P333:R333)&gt;=0.6,"Infantry-Heavy",IF((P333+0.7*Q333)/SUM(P333:R333)&gt;=0.7,"Vehicle-Heavy","Mixed"))))</f>
        <v/>
      </c>
    </row>
    <row r="334" spans="2:21" x14ac:dyDescent="0.25">
      <c r="B334">
        <v>3327</v>
      </c>
      <c r="U334" t="str">
        <f t="shared" si="23"/>
        <v/>
      </c>
    </row>
    <row r="335" spans="2:21" x14ac:dyDescent="0.25">
      <c r="B335">
        <v>3337</v>
      </c>
      <c r="U335" t="str">
        <f t="shared" si="23"/>
        <v/>
      </c>
    </row>
    <row r="336" spans="2:21" x14ac:dyDescent="0.25">
      <c r="B336">
        <v>3347</v>
      </c>
      <c r="U336" t="str">
        <f t="shared" si="23"/>
        <v/>
      </c>
    </row>
    <row r="337" spans="2:21" x14ac:dyDescent="0.25">
      <c r="B337">
        <v>3357</v>
      </c>
      <c r="U337" t="str">
        <f t="shared" si="23"/>
        <v/>
      </c>
    </row>
    <row r="338" spans="2:21" x14ac:dyDescent="0.25">
      <c r="B338">
        <v>3367</v>
      </c>
      <c r="U338" t="str">
        <f t="shared" si="23"/>
        <v/>
      </c>
    </row>
    <row r="339" spans="2:21" x14ac:dyDescent="0.25">
      <c r="B339">
        <v>3377</v>
      </c>
      <c r="U339" t="str">
        <f t="shared" si="23"/>
        <v/>
      </c>
    </row>
    <row r="340" spans="2:21" x14ac:dyDescent="0.25">
      <c r="B340">
        <v>3387</v>
      </c>
      <c r="U340" t="str">
        <f t="shared" si="23"/>
        <v/>
      </c>
    </row>
    <row r="341" spans="2:21" x14ac:dyDescent="0.25">
      <c r="B341">
        <v>3397</v>
      </c>
      <c r="U341" t="str">
        <f t="shared" si="23"/>
        <v/>
      </c>
    </row>
    <row r="342" spans="2:21" x14ac:dyDescent="0.25">
      <c r="B342">
        <v>3407</v>
      </c>
      <c r="U342" t="str">
        <f t="shared" si="23"/>
        <v/>
      </c>
    </row>
    <row r="343" spans="2:21" x14ac:dyDescent="0.25">
      <c r="B343">
        <v>3417</v>
      </c>
      <c r="U343" t="str">
        <f t="shared" si="23"/>
        <v/>
      </c>
    </row>
    <row r="344" spans="2:21" x14ac:dyDescent="0.25">
      <c r="B344">
        <v>3427</v>
      </c>
      <c r="U344" t="str">
        <f t="shared" si="23"/>
        <v/>
      </c>
    </row>
    <row r="345" spans="2:21" x14ac:dyDescent="0.25">
      <c r="B345">
        <v>3437</v>
      </c>
      <c r="U345" t="str">
        <f t="shared" si="23"/>
        <v/>
      </c>
    </row>
    <row r="346" spans="2:21" x14ac:dyDescent="0.25">
      <c r="B346">
        <v>3447</v>
      </c>
      <c r="U346" t="str">
        <f t="shared" si="23"/>
        <v/>
      </c>
    </row>
    <row r="347" spans="2:21" x14ac:dyDescent="0.25">
      <c r="B347">
        <v>3457</v>
      </c>
      <c r="U347" t="str">
        <f t="shared" si="23"/>
        <v/>
      </c>
    </row>
    <row r="348" spans="2:21" x14ac:dyDescent="0.25">
      <c r="B348">
        <v>3467</v>
      </c>
      <c r="U348" t="str">
        <f t="shared" si="23"/>
        <v/>
      </c>
    </row>
    <row r="349" spans="2:21" x14ac:dyDescent="0.25">
      <c r="B349">
        <v>3477</v>
      </c>
      <c r="U349" t="str">
        <f t="shared" si="23"/>
        <v/>
      </c>
    </row>
    <row r="350" spans="2:21" x14ac:dyDescent="0.25">
      <c r="B350">
        <v>3487</v>
      </c>
      <c r="U350" t="str">
        <f t="shared" si="23"/>
        <v/>
      </c>
    </row>
    <row r="351" spans="2:21" x14ac:dyDescent="0.25">
      <c r="B351">
        <v>3497</v>
      </c>
      <c r="U351" t="str">
        <f t="shared" si="23"/>
        <v/>
      </c>
    </row>
    <row r="352" spans="2:21" x14ac:dyDescent="0.25">
      <c r="B352">
        <v>3507</v>
      </c>
      <c r="U352" t="str">
        <f t="shared" si="23"/>
        <v/>
      </c>
    </row>
    <row r="353" spans="2:21" x14ac:dyDescent="0.25">
      <c r="B353">
        <v>3517</v>
      </c>
      <c r="U353" t="str">
        <f t="shared" si="23"/>
        <v/>
      </c>
    </row>
    <row r="354" spans="2:21" x14ac:dyDescent="0.25">
      <c r="B354">
        <v>3527</v>
      </c>
      <c r="U354" t="str">
        <f t="shared" si="23"/>
        <v/>
      </c>
    </row>
    <row r="355" spans="2:21" x14ac:dyDescent="0.25">
      <c r="B355">
        <v>3537</v>
      </c>
      <c r="U355" t="str">
        <f t="shared" si="23"/>
        <v/>
      </c>
    </row>
    <row r="356" spans="2:21" x14ac:dyDescent="0.25">
      <c r="B356">
        <v>3547</v>
      </c>
      <c r="U356" t="str">
        <f t="shared" si="23"/>
        <v/>
      </c>
    </row>
    <row r="357" spans="2:21" x14ac:dyDescent="0.25">
      <c r="B357">
        <v>3557</v>
      </c>
      <c r="U357" t="str">
        <f t="shared" si="23"/>
        <v/>
      </c>
    </row>
    <row r="358" spans="2:21" x14ac:dyDescent="0.25">
      <c r="B358">
        <v>3567</v>
      </c>
      <c r="U358" t="str">
        <f t="shared" si="23"/>
        <v/>
      </c>
    </row>
    <row r="359" spans="2:21" x14ac:dyDescent="0.25">
      <c r="B359">
        <v>3577</v>
      </c>
      <c r="U359" t="str">
        <f t="shared" si="23"/>
        <v/>
      </c>
    </row>
    <row r="360" spans="2:21" x14ac:dyDescent="0.25">
      <c r="B360">
        <v>3587</v>
      </c>
      <c r="U360" t="str">
        <f t="shared" si="23"/>
        <v/>
      </c>
    </row>
    <row r="361" spans="2:21" x14ac:dyDescent="0.25">
      <c r="B361">
        <v>3597</v>
      </c>
      <c r="U361" t="str">
        <f t="shared" si="23"/>
        <v/>
      </c>
    </row>
    <row r="362" spans="2:21" x14ac:dyDescent="0.25">
      <c r="B362">
        <v>3607</v>
      </c>
      <c r="U362" t="str">
        <f t="shared" si="23"/>
        <v/>
      </c>
    </row>
    <row r="363" spans="2:21" x14ac:dyDescent="0.25">
      <c r="B363">
        <v>3617</v>
      </c>
      <c r="U363" t="str">
        <f t="shared" si="23"/>
        <v/>
      </c>
    </row>
    <row r="364" spans="2:21" x14ac:dyDescent="0.25">
      <c r="B364">
        <v>3627</v>
      </c>
      <c r="U364" t="str">
        <f t="shared" si="23"/>
        <v/>
      </c>
    </row>
    <row r="365" spans="2:21" x14ac:dyDescent="0.25">
      <c r="B365">
        <v>3637</v>
      </c>
      <c r="U365" t="str">
        <f t="shared" si="23"/>
        <v/>
      </c>
    </row>
    <row r="366" spans="2:21" x14ac:dyDescent="0.25">
      <c r="B366">
        <v>3647</v>
      </c>
      <c r="U366" t="str">
        <f t="shared" si="23"/>
        <v/>
      </c>
    </row>
    <row r="367" spans="2:21" x14ac:dyDescent="0.25">
      <c r="B367">
        <v>3657</v>
      </c>
      <c r="U367" t="str">
        <f t="shared" si="23"/>
        <v/>
      </c>
    </row>
    <row r="368" spans="2:21" x14ac:dyDescent="0.25">
      <c r="B368">
        <v>3667</v>
      </c>
      <c r="U368" t="str">
        <f t="shared" si="23"/>
        <v/>
      </c>
    </row>
    <row r="369" spans="2:21" x14ac:dyDescent="0.25">
      <c r="B369">
        <v>3677</v>
      </c>
      <c r="U369" t="str">
        <f t="shared" si="23"/>
        <v/>
      </c>
    </row>
    <row r="370" spans="2:21" x14ac:dyDescent="0.25">
      <c r="B370">
        <v>3687</v>
      </c>
      <c r="U370" t="str">
        <f t="shared" si="23"/>
        <v/>
      </c>
    </row>
    <row r="371" spans="2:21" x14ac:dyDescent="0.25">
      <c r="B371">
        <v>3697</v>
      </c>
      <c r="U371" t="str">
        <f t="shared" si="23"/>
        <v/>
      </c>
    </row>
    <row r="372" spans="2:21" x14ac:dyDescent="0.25">
      <c r="B372">
        <v>3707</v>
      </c>
      <c r="U372" t="str">
        <f t="shared" si="23"/>
        <v/>
      </c>
    </row>
    <row r="373" spans="2:21" x14ac:dyDescent="0.25">
      <c r="B373">
        <v>3717</v>
      </c>
      <c r="U373" t="str">
        <f t="shared" si="23"/>
        <v/>
      </c>
    </row>
    <row r="374" spans="2:21" x14ac:dyDescent="0.25">
      <c r="B374">
        <v>3727</v>
      </c>
      <c r="U374" t="str">
        <f t="shared" si="23"/>
        <v/>
      </c>
    </row>
    <row r="375" spans="2:21" x14ac:dyDescent="0.25">
      <c r="B375">
        <v>3737</v>
      </c>
      <c r="U375" t="str">
        <f t="shared" si="23"/>
        <v/>
      </c>
    </row>
    <row r="376" spans="2:21" x14ac:dyDescent="0.25">
      <c r="B376">
        <v>3747</v>
      </c>
      <c r="U376" t="str">
        <f t="shared" si="23"/>
        <v/>
      </c>
    </row>
    <row r="377" spans="2:21" x14ac:dyDescent="0.25">
      <c r="B377">
        <v>3757</v>
      </c>
      <c r="U377" t="str">
        <f t="shared" si="23"/>
        <v/>
      </c>
    </row>
    <row r="378" spans="2:21" x14ac:dyDescent="0.25">
      <c r="B378">
        <v>3767</v>
      </c>
      <c r="U378" t="str">
        <f t="shared" si="23"/>
        <v/>
      </c>
    </row>
    <row r="379" spans="2:21" x14ac:dyDescent="0.25">
      <c r="B379">
        <v>3777</v>
      </c>
      <c r="U379" t="str">
        <f t="shared" si="23"/>
        <v/>
      </c>
    </row>
    <row r="380" spans="2:21" x14ac:dyDescent="0.25">
      <c r="B380">
        <v>3787</v>
      </c>
      <c r="U380" t="str">
        <f t="shared" si="23"/>
        <v/>
      </c>
    </row>
    <row r="381" spans="2:21" x14ac:dyDescent="0.25">
      <c r="B381">
        <v>3797</v>
      </c>
      <c r="U381" t="str">
        <f t="shared" si="23"/>
        <v/>
      </c>
    </row>
    <row r="382" spans="2:21" x14ac:dyDescent="0.25">
      <c r="B382">
        <v>3807</v>
      </c>
      <c r="U382" t="str">
        <f t="shared" si="23"/>
        <v/>
      </c>
    </row>
    <row r="383" spans="2:21" x14ac:dyDescent="0.25">
      <c r="B383">
        <v>3817</v>
      </c>
      <c r="U383" t="str">
        <f t="shared" si="23"/>
        <v/>
      </c>
    </row>
    <row r="384" spans="2:21" x14ac:dyDescent="0.25">
      <c r="B384">
        <v>3827</v>
      </c>
      <c r="U384" t="str">
        <f t="shared" si="23"/>
        <v/>
      </c>
    </row>
    <row r="385" spans="2:21" x14ac:dyDescent="0.25">
      <c r="B385">
        <v>3837</v>
      </c>
      <c r="U385" t="str">
        <f t="shared" si="23"/>
        <v/>
      </c>
    </row>
    <row r="386" spans="2:21" x14ac:dyDescent="0.25">
      <c r="B386">
        <v>3847</v>
      </c>
      <c r="U386" t="str">
        <f t="shared" si="23"/>
        <v/>
      </c>
    </row>
    <row r="387" spans="2:21" x14ac:dyDescent="0.25">
      <c r="B387">
        <v>3857</v>
      </c>
      <c r="U387" t="str">
        <f t="shared" si="23"/>
        <v/>
      </c>
    </row>
    <row r="388" spans="2:21" x14ac:dyDescent="0.25">
      <c r="B388">
        <v>3867</v>
      </c>
      <c r="U388" t="str">
        <f t="shared" si="23"/>
        <v/>
      </c>
    </row>
    <row r="389" spans="2:21" x14ac:dyDescent="0.25">
      <c r="B389">
        <v>3877</v>
      </c>
      <c r="U389" t="str">
        <f t="shared" si="23"/>
        <v/>
      </c>
    </row>
    <row r="390" spans="2:21" x14ac:dyDescent="0.25">
      <c r="B390">
        <v>3887</v>
      </c>
      <c r="U390" t="str">
        <f t="shared" si="23"/>
        <v/>
      </c>
    </row>
    <row r="391" spans="2:21" x14ac:dyDescent="0.25">
      <c r="B391">
        <v>3897</v>
      </c>
      <c r="U391" t="str">
        <f t="shared" si="23"/>
        <v/>
      </c>
    </row>
    <row r="392" spans="2:21" x14ac:dyDescent="0.25">
      <c r="B392">
        <v>3907</v>
      </c>
      <c r="U392" t="str">
        <f t="shared" si="23"/>
        <v/>
      </c>
    </row>
    <row r="393" spans="2:21" x14ac:dyDescent="0.25">
      <c r="B393">
        <v>3917</v>
      </c>
      <c r="U393" t="str">
        <f t="shared" si="23"/>
        <v/>
      </c>
    </row>
    <row r="394" spans="2:21" x14ac:dyDescent="0.25">
      <c r="B394">
        <v>3927</v>
      </c>
      <c r="U394" t="str">
        <f t="shared" si="23"/>
        <v/>
      </c>
    </row>
    <row r="395" spans="2:21" x14ac:dyDescent="0.25">
      <c r="B395">
        <v>3937</v>
      </c>
      <c r="U395" t="str">
        <f t="shared" si="23"/>
        <v/>
      </c>
    </row>
    <row r="396" spans="2:21" x14ac:dyDescent="0.25">
      <c r="B396">
        <v>3947</v>
      </c>
      <c r="U396" t="str">
        <f t="shared" si="23"/>
        <v/>
      </c>
    </row>
    <row r="397" spans="2:21" x14ac:dyDescent="0.25">
      <c r="B397">
        <v>3957</v>
      </c>
      <c r="U397" t="str">
        <f t="shared" ref="U397:U460" si="24">IF(SUM(P397:S397)=0,"",IF(S397/SUM(P397:S397)&gt;=0.5,"Battle Royale",IF(R397/SUM(P397:R397)&gt;=0.6,"Infantry-Heavy",IF((P397+0.7*Q397)/SUM(P397:R397)&gt;=0.7,"Vehicle-Heavy","Mixed"))))</f>
        <v/>
      </c>
    </row>
    <row r="398" spans="2:21" x14ac:dyDescent="0.25">
      <c r="B398">
        <v>3967</v>
      </c>
      <c r="U398" t="str">
        <f t="shared" si="24"/>
        <v/>
      </c>
    </row>
    <row r="399" spans="2:21" x14ac:dyDescent="0.25">
      <c r="B399">
        <v>3977</v>
      </c>
      <c r="U399" t="str">
        <f t="shared" si="24"/>
        <v/>
      </c>
    </row>
    <row r="400" spans="2:21" x14ac:dyDescent="0.25">
      <c r="B400">
        <v>3987</v>
      </c>
      <c r="U400" t="str">
        <f t="shared" si="24"/>
        <v/>
      </c>
    </row>
    <row r="401" spans="2:21" x14ac:dyDescent="0.25">
      <c r="B401">
        <v>3997</v>
      </c>
      <c r="U401" t="str">
        <f t="shared" si="24"/>
        <v/>
      </c>
    </row>
    <row r="402" spans="2:21" x14ac:dyDescent="0.25">
      <c r="B402">
        <v>4007</v>
      </c>
      <c r="U402" t="str">
        <f t="shared" si="24"/>
        <v/>
      </c>
    </row>
    <row r="403" spans="2:21" x14ac:dyDescent="0.25">
      <c r="B403">
        <v>4017</v>
      </c>
      <c r="U403" t="str">
        <f t="shared" si="24"/>
        <v/>
      </c>
    </row>
    <row r="404" spans="2:21" x14ac:dyDescent="0.25">
      <c r="B404">
        <v>4027</v>
      </c>
      <c r="U404" t="str">
        <f t="shared" si="24"/>
        <v/>
      </c>
    </row>
    <row r="405" spans="2:21" x14ac:dyDescent="0.25">
      <c r="B405">
        <v>4037</v>
      </c>
      <c r="U405" t="str">
        <f t="shared" si="24"/>
        <v/>
      </c>
    </row>
    <row r="406" spans="2:21" x14ac:dyDescent="0.25">
      <c r="B406">
        <v>4047</v>
      </c>
      <c r="U406" t="str">
        <f t="shared" si="24"/>
        <v/>
      </c>
    </row>
    <row r="407" spans="2:21" x14ac:dyDescent="0.25">
      <c r="B407">
        <v>4057</v>
      </c>
      <c r="U407" t="str">
        <f t="shared" si="24"/>
        <v/>
      </c>
    </row>
    <row r="408" spans="2:21" x14ac:dyDescent="0.25">
      <c r="B408">
        <v>4067</v>
      </c>
      <c r="U408" t="str">
        <f t="shared" si="24"/>
        <v/>
      </c>
    </row>
    <row r="409" spans="2:21" x14ac:dyDescent="0.25">
      <c r="B409">
        <v>4077</v>
      </c>
      <c r="U409" t="str">
        <f t="shared" si="24"/>
        <v/>
      </c>
    </row>
    <row r="410" spans="2:21" x14ac:dyDescent="0.25">
      <c r="B410">
        <v>4087</v>
      </c>
      <c r="U410" t="str">
        <f t="shared" si="24"/>
        <v/>
      </c>
    </row>
    <row r="411" spans="2:21" x14ac:dyDescent="0.25">
      <c r="B411">
        <v>4097</v>
      </c>
      <c r="U411" t="str">
        <f t="shared" si="24"/>
        <v/>
      </c>
    </row>
    <row r="412" spans="2:21" x14ac:dyDescent="0.25">
      <c r="B412">
        <v>4107</v>
      </c>
      <c r="U412" t="str">
        <f t="shared" si="24"/>
        <v/>
      </c>
    </row>
    <row r="413" spans="2:21" x14ac:dyDescent="0.25">
      <c r="B413">
        <v>4117</v>
      </c>
      <c r="U413" t="str">
        <f t="shared" si="24"/>
        <v/>
      </c>
    </row>
    <row r="414" spans="2:21" x14ac:dyDescent="0.25">
      <c r="B414">
        <v>4127</v>
      </c>
      <c r="U414" t="str">
        <f t="shared" si="24"/>
        <v/>
      </c>
    </row>
    <row r="415" spans="2:21" x14ac:dyDescent="0.25">
      <c r="B415">
        <v>4137</v>
      </c>
      <c r="U415" t="str">
        <f t="shared" si="24"/>
        <v/>
      </c>
    </row>
    <row r="416" spans="2:21" x14ac:dyDescent="0.25">
      <c r="B416">
        <v>4147</v>
      </c>
      <c r="U416" t="str">
        <f t="shared" si="24"/>
        <v/>
      </c>
    </row>
    <row r="417" spans="2:21" x14ac:dyDescent="0.25">
      <c r="B417">
        <v>4157</v>
      </c>
      <c r="U417" t="str">
        <f t="shared" si="24"/>
        <v/>
      </c>
    </row>
    <row r="418" spans="2:21" x14ac:dyDescent="0.25">
      <c r="B418">
        <v>4167</v>
      </c>
      <c r="U418" t="str">
        <f t="shared" si="24"/>
        <v/>
      </c>
    </row>
    <row r="419" spans="2:21" x14ac:dyDescent="0.25">
      <c r="B419">
        <v>4177</v>
      </c>
      <c r="U419" t="str">
        <f t="shared" si="24"/>
        <v/>
      </c>
    </row>
    <row r="420" spans="2:21" x14ac:dyDescent="0.25">
      <c r="B420">
        <v>4187</v>
      </c>
      <c r="U420" t="str">
        <f t="shared" si="24"/>
        <v/>
      </c>
    </row>
    <row r="421" spans="2:21" x14ac:dyDescent="0.25">
      <c r="B421">
        <v>4197</v>
      </c>
      <c r="U421" t="str">
        <f t="shared" si="24"/>
        <v/>
      </c>
    </row>
    <row r="422" spans="2:21" x14ac:dyDescent="0.25">
      <c r="B422">
        <v>4207</v>
      </c>
      <c r="U422" t="str">
        <f t="shared" si="24"/>
        <v/>
      </c>
    </row>
    <row r="423" spans="2:21" x14ac:dyDescent="0.25">
      <c r="B423">
        <v>4217</v>
      </c>
      <c r="U423" t="str">
        <f t="shared" si="24"/>
        <v/>
      </c>
    </row>
    <row r="424" spans="2:21" x14ac:dyDescent="0.25">
      <c r="B424">
        <v>4227</v>
      </c>
      <c r="U424" t="str">
        <f t="shared" si="24"/>
        <v/>
      </c>
    </row>
    <row r="425" spans="2:21" x14ac:dyDescent="0.25">
      <c r="B425">
        <v>4237</v>
      </c>
      <c r="U425" t="str">
        <f t="shared" si="24"/>
        <v/>
      </c>
    </row>
    <row r="426" spans="2:21" x14ac:dyDescent="0.25">
      <c r="B426">
        <v>4247</v>
      </c>
      <c r="U426" t="str">
        <f t="shared" si="24"/>
        <v/>
      </c>
    </row>
    <row r="427" spans="2:21" x14ac:dyDescent="0.25">
      <c r="B427">
        <v>4257</v>
      </c>
      <c r="U427" t="str">
        <f t="shared" si="24"/>
        <v/>
      </c>
    </row>
    <row r="428" spans="2:21" x14ac:dyDescent="0.25">
      <c r="B428">
        <v>4267</v>
      </c>
      <c r="U428" t="str">
        <f t="shared" si="24"/>
        <v/>
      </c>
    </row>
    <row r="429" spans="2:21" x14ac:dyDescent="0.25">
      <c r="B429">
        <v>4277</v>
      </c>
      <c r="U429" t="str">
        <f t="shared" si="24"/>
        <v/>
      </c>
    </row>
    <row r="430" spans="2:21" x14ac:dyDescent="0.25">
      <c r="B430">
        <v>4287</v>
      </c>
      <c r="U430" t="str">
        <f t="shared" si="24"/>
        <v/>
      </c>
    </row>
    <row r="431" spans="2:21" x14ac:dyDescent="0.25">
      <c r="B431">
        <v>4297</v>
      </c>
      <c r="U431" t="str">
        <f t="shared" si="24"/>
        <v/>
      </c>
    </row>
    <row r="432" spans="2:21" x14ac:dyDescent="0.25">
      <c r="B432">
        <v>4307</v>
      </c>
      <c r="U432" t="str">
        <f t="shared" si="24"/>
        <v/>
      </c>
    </row>
    <row r="433" spans="2:21" x14ac:dyDescent="0.25">
      <c r="B433">
        <v>4317</v>
      </c>
      <c r="U433" t="str">
        <f t="shared" si="24"/>
        <v/>
      </c>
    </row>
    <row r="434" spans="2:21" x14ac:dyDescent="0.25">
      <c r="B434">
        <v>4327</v>
      </c>
      <c r="U434" t="str">
        <f t="shared" si="24"/>
        <v/>
      </c>
    </row>
    <row r="435" spans="2:21" x14ac:dyDescent="0.25">
      <c r="B435">
        <v>4337</v>
      </c>
      <c r="U435" t="str">
        <f t="shared" si="24"/>
        <v/>
      </c>
    </row>
    <row r="436" spans="2:21" x14ac:dyDescent="0.25">
      <c r="B436">
        <v>4347</v>
      </c>
      <c r="U436" t="str">
        <f t="shared" si="24"/>
        <v/>
      </c>
    </row>
    <row r="437" spans="2:21" x14ac:dyDescent="0.25">
      <c r="B437">
        <v>4357</v>
      </c>
      <c r="U437" t="str">
        <f t="shared" si="24"/>
        <v/>
      </c>
    </row>
    <row r="438" spans="2:21" x14ac:dyDescent="0.25">
      <c r="B438">
        <v>4367</v>
      </c>
      <c r="U438" t="str">
        <f t="shared" si="24"/>
        <v/>
      </c>
    </row>
    <row r="439" spans="2:21" x14ac:dyDescent="0.25">
      <c r="B439">
        <v>4377</v>
      </c>
      <c r="U439" t="str">
        <f t="shared" si="24"/>
        <v/>
      </c>
    </row>
    <row r="440" spans="2:21" x14ac:dyDescent="0.25">
      <c r="B440">
        <v>4387</v>
      </c>
      <c r="U440" t="str">
        <f t="shared" si="24"/>
        <v/>
      </c>
    </row>
    <row r="441" spans="2:21" x14ac:dyDescent="0.25">
      <c r="B441">
        <v>4397</v>
      </c>
      <c r="U441" t="str">
        <f t="shared" si="24"/>
        <v/>
      </c>
    </row>
    <row r="442" spans="2:21" x14ac:dyDescent="0.25">
      <c r="B442">
        <v>4407</v>
      </c>
      <c r="U442" t="str">
        <f t="shared" si="24"/>
        <v/>
      </c>
    </row>
    <row r="443" spans="2:21" x14ac:dyDescent="0.25">
      <c r="B443">
        <v>4417</v>
      </c>
      <c r="U443" t="str">
        <f t="shared" si="24"/>
        <v/>
      </c>
    </row>
    <row r="444" spans="2:21" x14ac:dyDescent="0.25">
      <c r="B444">
        <v>4427</v>
      </c>
      <c r="U444" t="str">
        <f t="shared" si="24"/>
        <v/>
      </c>
    </row>
    <row r="445" spans="2:21" x14ac:dyDescent="0.25">
      <c r="B445">
        <v>4437</v>
      </c>
      <c r="U445" t="str">
        <f t="shared" si="24"/>
        <v/>
      </c>
    </row>
    <row r="446" spans="2:21" x14ac:dyDescent="0.25">
      <c r="B446">
        <v>4447</v>
      </c>
      <c r="U446" t="str">
        <f t="shared" si="24"/>
        <v/>
      </c>
    </row>
    <row r="447" spans="2:21" x14ac:dyDescent="0.25">
      <c r="B447">
        <v>4457</v>
      </c>
      <c r="U447" t="str">
        <f t="shared" si="24"/>
        <v/>
      </c>
    </row>
    <row r="448" spans="2:21" x14ac:dyDescent="0.25">
      <c r="B448">
        <v>4467</v>
      </c>
      <c r="U448" t="str">
        <f t="shared" si="24"/>
        <v/>
      </c>
    </row>
    <row r="449" spans="2:21" x14ac:dyDescent="0.25">
      <c r="B449">
        <v>4477</v>
      </c>
      <c r="U449" t="str">
        <f t="shared" si="24"/>
        <v/>
      </c>
    </row>
    <row r="450" spans="2:21" x14ac:dyDescent="0.25">
      <c r="B450">
        <v>4487</v>
      </c>
      <c r="U450" t="str">
        <f t="shared" si="24"/>
        <v/>
      </c>
    </row>
    <row r="451" spans="2:21" x14ac:dyDescent="0.25">
      <c r="B451">
        <v>4497</v>
      </c>
      <c r="U451" t="str">
        <f t="shared" si="24"/>
        <v/>
      </c>
    </row>
    <row r="452" spans="2:21" x14ac:dyDescent="0.25">
      <c r="B452">
        <v>4507</v>
      </c>
      <c r="U452" t="str">
        <f t="shared" si="24"/>
        <v/>
      </c>
    </row>
    <row r="453" spans="2:21" x14ac:dyDescent="0.25">
      <c r="B453">
        <v>4517</v>
      </c>
      <c r="U453" t="str">
        <f t="shared" si="24"/>
        <v/>
      </c>
    </row>
    <row r="454" spans="2:21" x14ac:dyDescent="0.25">
      <c r="B454">
        <v>4527</v>
      </c>
      <c r="U454" t="str">
        <f t="shared" si="24"/>
        <v/>
      </c>
    </row>
    <row r="455" spans="2:21" x14ac:dyDescent="0.25">
      <c r="B455">
        <v>4537</v>
      </c>
      <c r="U455" t="str">
        <f t="shared" si="24"/>
        <v/>
      </c>
    </row>
    <row r="456" spans="2:21" x14ac:dyDescent="0.25">
      <c r="B456">
        <v>4547</v>
      </c>
      <c r="U456" t="str">
        <f t="shared" si="24"/>
        <v/>
      </c>
    </row>
    <row r="457" spans="2:21" x14ac:dyDescent="0.25">
      <c r="B457">
        <v>4557</v>
      </c>
      <c r="U457" t="str">
        <f t="shared" si="24"/>
        <v/>
      </c>
    </row>
    <row r="458" spans="2:21" x14ac:dyDescent="0.25">
      <c r="B458">
        <v>4567</v>
      </c>
      <c r="U458" t="str">
        <f t="shared" si="24"/>
        <v/>
      </c>
    </row>
    <row r="459" spans="2:21" x14ac:dyDescent="0.25">
      <c r="B459">
        <v>4577</v>
      </c>
      <c r="U459" t="str">
        <f t="shared" si="24"/>
        <v/>
      </c>
    </row>
    <row r="460" spans="2:21" x14ac:dyDescent="0.25">
      <c r="B460">
        <v>4587</v>
      </c>
      <c r="U460" t="str">
        <f t="shared" si="24"/>
        <v/>
      </c>
    </row>
    <row r="461" spans="2:21" x14ac:dyDescent="0.25">
      <c r="B461">
        <v>4597</v>
      </c>
      <c r="U461" t="str">
        <f t="shared" ref="U461:U524" si="25">IF(SUM(P461:S461)=0,"",IF(S461/SUM(P461:S461)&gt;=0.5,"Battle Royale",IF(R461/SUM(P461:R461)&gt;=0.6,"Infantry-Heavy",IF((P461+0.7*Q461)/SUM(P461:R461)&gt;=0.7,"Vehicle-Heavy","Mixed"))))</f>
        <v/>
      </c>
    </row>
    <row r="462" spans="2:21" x14ac:dyDescent="0.25">
      <c r="B462">
        <v>4607</v>
      </c>
      <c r="U462" t="str">
        <f t="shared" si="25"/>
        <v/>
      </c>
    </row>
    <row r="463" spans="2:21" x14ac:dyDescent="0.25">
      <c r="B463">
        <v>4617</v>
      </c>
      <c r="U463" t="str">
        <f t="shared" si="25"/>
        <v/>
      </c>
    </row>
    <row r="464" spans="2:21" x14ac:dyDescent="0.25">
      <c r="B464">
        <v>4627</v>
      </c>
      <c r="U464" t="str">
        <f t="shared" si="25"/>
        <v/>
      </c>
    </row>
    <row r="465" spans="2:21" x14ac:dyDescent="0.25">
      <c r="B465">
        <v>4637</v>
      </c>
      <c r="U465" t="str">
        <f t="shared" si="25"/>
        <v/>
      </c>
    </row>
    <row r="466" spans="2:21" x14ac:dyDescent="0.25">
      <c r="B466">
        <v>4647</v>
      </c>
      <c r="U466" t="str">
        <f t="shared" si="25"/>
        <v/>
      </c>
    </row>
    <row r="467" spans="2:21" x14ac:dyDescent="0.25">
      <c r="B467">
        <v>4657</v>
      </c>
      <c r="U467" t="str">
        <f t="shared" si="25"/>
        <v/>
      </c>
    </row>
    <row r="468" spans="2:21" x14ac:dyDescent="0.25">
      <c r="B468">
        <v>4667</v>
      </c>
      <c r="U468" t="str">
        <f t="shared" si="25"/>
        <v/>
      </c>
    </row>
    <row r="469" spans="2:21" x14ac:dyDescent="0.25">
      <c r="B469">
        <v>4677</v>
      </c>
      <c r="U469" t="str">
        <f t="shared" si="25"/>
        <v/>
      </c>
    </row>
    <row r="470" spans="2:21" x14ac:dyDescent="0.25">
      <c r="B470">
        <v>4687</v>
      </c>
      <c r="U470" t="str">
        <f t="shared" si="25"/>
        <v/>
      </c>
    </row>
    <row r="471" spans="2:21" x14ac:dyDescent="0.25">
      <c r="B471">
        <v>4697</v>
      </c>
      <c r="U471" t="str">
        <f t="shared" si="25"/>
        <v/>
      </c>
    </row>
    <row r="472" spans="2:21" x14ac:dyDescent="0.25">
      <c r="B472">
        <v>4707</v>
      </c>
      <c r="U472" t="str">
        <f t="shared" si="25"/>
        <v/>
      </c>
    </row>
    <row r="473" spans="2:21" x14ac:dyDescent="0.25">
      <c r="B473">
        <v>4717</v>
      </c>
      <c r="U473" t="str">
        <f t="shared" si="25"/>
        <v/>
      </c>
    </row>
    <row r="474" spans="2:21" x14ac:dyDescent="0.25">
      <c r="B474">
        <v>4727</v>
      </c>
      <c r="U474" t="str">
        <f t="shared" si="25"/>
        <v/>
      </c>
    </row>
    <row r="475" spans="2:21" x14ac:dyDescent="0.25">
      <c r="B475">
        <v>4737</v>
      </c>
      <c r="U475" t="str">
        <f t="shared" si="25"/>
        <v/>
      </c>
    </row>
    <row r="476" spans="2:21" x14ac:dyDescent="0.25">
      <c r="B476">
        <v>4747</v>
      </c>
      <c r="U476" t="str">
        <f t="shared" si="25"/>
        <v/>
      </c>
    </row>
    <row r="477" spans="2:21" x14ac:dyDescent="0.25">
      <c r="B477">
        <v>4757</v>
      </c>
      <c r="U477" t="str">
        <f t="shared" si="25"/>
        <v/>
      </c>
    </row>
    <row r="478" spans="2:21" x14ac:dyDescent="0.25">
      <c r="B478">
        <v>4767</v>
      </c>
      <c r="U478" t="str">
        <f t="shared" si="25"/>
        <v/>
      </c>
    </row>
    <row r="479" spans="2:21" x14ac:dyDescent="0.25">
      <c r="B479">
        <v>4777</v>
      </c>
      <c r="U479" t="str">
        <f t="shared" si="25"/>
        <v/>
      </c>
    </row>
    <row r="480" spans="2:21" x14ac:dyDescent="0.25">
      <c r="B480">
        <v>4787</v>
      </c>
      <c r="U480" t="str">
        <f t="shared" si="25"/>
        <v/>
      </c>
    </row>
    <row r="481" spans="2:21" x14ac:dyDescent="0.25">
      <c r="B481">
        <v>4797</v>
      </c>
      <c r="U481" t="str">
        <f t="shared" si="25"/>
        <v/>
      </c>
    </row>
    <row r="482" spans="2:21" x14ac:dyDescent="0.25">
      <c r="B482">
        <v>4807</v>
      </c>
      <c r="U482" t="str">
        <f t="shared" si="25"/>
        <v/>
      </c>
    </row>
    <row r="483" spans="2:21" x14ac:dyDescent="0.25">
      <c r="B483">
        <v>4817</v>
      </c>
      <c r="U483" t="str">
        <f t="shared" si="25"/>
        <v/>
      </c>
    </row>
    <row r="484" spans="2:21" x14ac:dyDescent="0.25">
      <c r="B484">
        <v>4827</v>
      </c>
      <c r="U484" t="str">
        <f t="shared" si="25"/>
        <v/>
      </c>
    </row>
    <row r="485" spans="2:21" x14ac:dyDescent="0.25">
      <c r="B485">
        <v>4837</v>
      </c>
      <c r="U485" t="str">
        <f t="shared" si="25"/>
        <v/>
      </c>
    </row>
    <row r="486" spans="2:21" x14ac:dyDescent="0.25">
      <c r="B486">
        <v>4847</v>
      </c>
      <c r="U486" t="str">
        <f t="shared" si="25"/>
        <v/>
      </c>
    </row>
    <row r="487" spans="2:21" x14ac:dyDescent="0.25">
      <c r="B487">
        <v>4857</v>
      </c>
      <c r="U487" t="str">
        <f t="shared" si="25"/>
        <v/>
      </c>
    </row>
    <row r="488" spans="2:21" x14ac:dyDescent="0.25">
      <c r="B488">
        <v>4867</v>
      </c>
      <c r="U488" t="str">
        <f t="shared" si="25"/>
        <v/>
      </c>
    </row>
    <row r="489" spans="2:21" x14ac:dyDescent="0.25">
      <c r="B489">
        <v>4877</v>
      </c>
      <c r="U489" t="str">
        <f t="shared" si="25"/>
        <v/>
      </c>
    </row>
    <row r="490" spans="2:21" x14ac:dyDescent="0.25">
      <c r="B490">
        <v>4887</v>
      </c>
      <c r="U490" t="str">
        <f t="shared" si="25"/>
        <v/>
      </c>
    </row>
    <row r="491" spans="2:21" x14ac:dyDescent="0.25">
      <c r="B491">
        <v>4897</v>
      </c>
      <c r="U491" t="str">
        <f t="shared" si="25"/>
        <v/>
      </c>
    </row>
    <row r="492" spans="2:21" x14ac:dyDescent="0.25">
      <c r="B492">
        <v>4907</v>
      </c>
      <c r="U492" t="str">
        <f t="shared" si="25"/>
        <v/>
      </c>
    </row>
    <row r="493" spans="2:21" x14ac:dyDescent="0.25">
      <c r="B493">
        <v>4917</v>
      </c>
      <c r="U493" t="str">
        <f t="shared" si="25"/>
        <v/>
      </c>
    </row>
    <row r="494" spans="2:21" x14ac:dyDescent="0.25">
      <c r="B494">
        <v>4927</v>
      </c>
      <c r="U494" t="str">
        <f t="shared" si="25"/>
        <v/>
      </c>
    </row>
    <row r="495" spans="2:21" x14ac:dyDescent="0.25">
      <c r="B495">
        <v>4937</v>
      </c>
      <c r="U495" t="str">
        <f t="shared" si="25"/>
        <v/>
      </c>
    </row>
    <row r="496" spans="2:21" x14ac:dyDescent="0.25">
      <c r="B496">
        <v>4947</v>
      </c>
      <c r="U496" t="str">
        <f t="shared" si="25"/>
        <v/>
      </c>
    </row>
    <row r="497" spans="2:21" x14ac:dyDescent="0.25">
      <c r="B497">
        <v>4957</v>
      </c>
      <c r="U497" t="str">
        <f t="shared" si="25"/>
        <v/>
      </c>
    </row>
    <row r="498" spans="2:21" x14ac:dyDescent="0.25">
      <c r="B498">
        <v>4967</v>
      </c>
      <c r="U498" t="str">
        <f t="shared" si="25"/>
        <v/>
      </c>
    </row>
    <row r="499" spans="2:21" x14ac:dyDescent="0.25">
      <c r="B499">
        <v>4977</v>
      </c>
      <c r="U499" t="str">
        <f t="shared" si="25"/>
        <v/>
      </c>
    </row>
    <row r="500" spans="2:21" x14ac:dyDescent="0.25">
      <c r="B500">
        <v>4987</v>
      </c>
      <c r="U500" t="str">
        <f t="shared" si="25"/>
        <v/>
      </c>
    </row>
    <row r="501" spans="2:21" x14ac:dyDescent="0.25">
      <c r="B501">
        <v>4997</v>
      </c>
      <c r="U501" t="str">
        <f t="shared" si="25"/>
        <v/>
      </c>
    </row>
    <row r="502" spans="2:21" x14ac:dyDescent="0.25">
      <c r="B502">
        <v>5007</v>
      </c>
      <c r="U502" t="str">
        <f t="shared" si="25"/>
        <v/>
      </c>
    </row>
    <row r="503" spans="2:21" x14ac:dyDescent="0.25">
      <c r="B503">
        <v>5017</v>
      </c>
      <c r="U503" t="str">
        <f t="shared" si="25"/>
        <v/>
      </c>
    </row>
    <row r="504" spans="2:21" x14ac:dyDescent="0.25">
      <c r="B504">
        <v>5027</v>
      </c>
      <c r="U504" t="str">
        <f t="shared" si="25"/>
        <v/>
      </c>
    </row>
    <row r="505" spans="2:21" x14ac:dyDescent="0.25">
      <c r="B505">
        <v>5037</v>
      </c>
      <c r="U505" t="str">
        <f t="shared" si="25"/>
        <v/>
      </c>
    </row>
    <row r="506" spans="2:21" x14ac:dyDescent="0.25">
      <c r="B506">
        <v>5047</v>
      </c>
      <c r="U506" t="str">
        <f t="shared" si="25"/>
        <v/>
      </c>
    </row>
    <row r="507" spans="2:21" x14ac:dyDescent="0.25">
      <c r="B507">
        <v>5057</v>
      </c>
      <c r="U507" t="str">
        <f t="shared" si="25"/>
        <v/>
      </c>
    </row>
    <row r="508" spans="2:21" x14ac:dyDescent="0.25">
      <c r="B508">
        <v>5067</v>
      </c>
      <c r="U508" t="str">
        <f t="shared" si="25"/>
        <v/>
      </c>
    </row>
    <row r="509" spans="2:21" x14ac:dyDescent="0.25">
      <c r="B509">
        <v>5077</v>
      </c>
      <c r="U509" t="str">
        <f t="shared" si="25"/>
        <v/>
      </c>
    </row>
    <row r="510" spans="2:21" x14ac:dyDescent="0.25">
      <c r="B510">
        <v>5087</v>
      </c>
      <c r="U510" t="str">
        <f t="shared" si="25"/>
        <v/>
      </c>
    </row>
    <row r="511" spans="2:21" x14ac:dyDescent="0.25">
      <c r="B511">
        <v>5097</v>
      </c>
      <c r="U511" t="str">
        <f t="shared" si="25"/>
        <v/>
      </c>
    </row>
    <row r="512" spans="2:21" x14ac:dyDescent="0.25">
      <c r="B512">
        <v>5107</v>
      </c>
      <c r="U512" t="str">
        <f t="shared" si="25"/>
        <v/>
      </c>
    </row>
    <row r="513" spans="2:21" x14ac:dyDescent="0.25">
      <c r="B513">
        <v>5117</v>
      </c>
      <c r="U513" t="str">
        <f t="shared" si="25"/>
        <v/>
      </c>
    </row>
    <row r="514" spans="2:21" x14ac:dyDescent="0.25">
      <c r="B514">
        <v>5127</v>
      </c>
      <c r="U514" t="str">
        <f t="shared" si="25"/>
        <v/>
      </c>
    </row>
    <row r="515" spans="2:21" x14ac:dyDescent="0.25">
      <c r="B515">
        <v>5137</v>
      </c>
      <c r="U515" t="str">
        <f t="shared" si="25"/>
        <v/>
      </c>
    </row>
    <row r="516" spans="2:21" x14ac:dyDescent="0.25">
      <c r="B516">
        <v>5147</v>
      </c>
      <c r="U516" t="str">
        <f t="shared" si="25"/>
        <v/>
      </c>
    </row>
    <row r="517" spans="2:21" x14ac:dyDescent="0.25">
      <c r="B517">
        <v>5157</v>
      </c>
      <c r="U517" t="str">
        <f t="shared" si="25"/>
        <v/>
      </c>
    </row>
    <row r="518" spans="2:21" x14ac:dyDescent="0.25">
      <c r="B518">
        <v>5167</v>
      </c>
      <c r="U518" t="str">
        <f t="shared" si="25"/>
        <v/>
      </c>
    </row>
    <row r="519" spans="2:21" x14ac:dyDescent="0.25">
      <c r="B519">
        <v>5177</v>
      </c>
      <c r="U519" t="str">
        <f t="shared" si="25"/>
        <v/>
      </c>
    </row>
    <row r="520" spans="2:21" x14ac:dyDescent="0.25">
      <c r="B520">
        <v>5187</v>
      </c>
      <c r="U520" t="str">
        <f t="shared" si="25"/>
        <v/>
      </c>
    </row>
    <row r="521" spans="2:21" x14ac:dyDescent="0.25">
      <c r="B521">
        <v>5197</v>
      </c>
      <c r="U521" t="str">
        <f t="shared" si="25"/>
        <v/>
      </c>
    </row>
    <row r="522" spans="2:21" x14ac:dyDescent="0.25">
      <c r="B522">
        <v>5207</v>
      </c>
      <c r="U522" t="str">
        <f t="shared" si="25"/>
        <v/>
      </c>
    </row>
    <row r="523" spans="2:21" x14ac:dyDescent="0.25">
      <c r="B523">
        <v>5217</v>
      </c>
      <c r="U523" t="str">
        <f t="shared" si="25"/>
        <v/>
      </c>
    </row>
    <row r="524" spans="2:21" x14ac:dyDescent="0.25">
      <c r="B524">
        <v>5227</v>
      </c>
      <c r="U524" t="str">
        <f t="shared" si="25"/>
        <v/>
      </c>
    </row>
    <row r="525" spans="2:21" x14ac:dyDescent="0.25">
      <c r="B525">
        <v>5237</v>
      </c>
      <c r="U525" t="str">
        <f t="shared" ref="U525:U588" si="26">IF(SUM(P525:S525)=0,"",IF(S525/SUM(P525:S525)&gt;=0.5,"Battle Royale",IF(R525/SUM(P525:R525)&gt;=0.6,"Infantry-Heavy",IF((P525+0.7*Q525)/SUM(P525:R525)&gt;=0.7,"Vehicle-Heavy","Mixed"))))</f>
        <v/>
      </c>
    </row>
    <row r="526" spans="2:21" x14ac:dyDescent="0.25">
      <c r="B526">
        <v>5247</v>
      </c>
      <c r="U526" t="str">
        <f t="shared" si="26"/>
        <v/>
      </c>
    </row>
    <row r="527" spans="2:21" x14ac:dyDescent="0.25">
      <c r="B527">
        <v>5257</v>
      </c>
      <c r="U527" t="str">
        <f t="shared" si="26"/>
        <v/>
      </c>
    </row>
    <row r="528" spans="2:21" x14ac:dyDescent="0.25">
      <c r="B528">
        <v>5267</v>
      </c>
      <c r="U528" t="str">
        <f t="shared" si="26"/>
        <v/>
      </c>
    </row>
    <row r="529" spans="2:21" x14ac:dyDescent="0.25">
      <c r="B529">
        <v>5277</v>
      </c>
      <c r="U529" t="str">
        <f t="shared" si="26"/>
        <v/>
      </c>
    </row>
    <row r="530" spans="2:21" x14ac:dyDescent="0.25">
      <c r="B530">
        <v>5287</v>
      </c>
      <c r="U530" t="str">
        <f t="shared" si="26"/>
        <v/>
      </c>
    </row>
    <row r="531" spans="2:21" x14ac:dyDescent="0.25">
      <c r="B531">
        <v>5297</v>
      </c>
      <c r="U531" t="str">
        <f t="shared" si="26"/>
        <v/>
      </c>
    </row>
    <row r="532" spans="2:21" x14ac:dyDescent="0.25">
      <c r="B532">
        <v>5307</v>
      </c>
      <c r="U532" t="str">
        <f t="shared" si="26"/>
        <v/>
      </c>
    </row>
    <row r="533" spans="2:21" x14ac:dyDescent="0.25">
      <c r="B533">
        <v>5317</v>
      </c>
      <c r="U533" t="str">
        <f t="shared" si="26"/>
        <v/>
      </c>
    </row>
    <row r="534" spans="2:21" x14ac:dyDescent="0.25">
      <c r="B534">
        <v>5327</v>
      </c>
      <c r="U534" t="str">
        <f t="shared" si="26"/>
        <v/>
      </c>
    </row>
    <row r="535" spans="2:21" x14ac:dyDescent="0.25">
      <c r="B535">
        <v>5337</v>
      </c>
      <c r="U535" t="str">
        <f t="shared" si="26"/>
        <v/>
      </c>
    </row>
    <row r="536" spans="2:21" x14ac:dyDescent="0.25">
      <c r="B536">
        <v>5347</v>
      </c>
      <c r="U536" t="str">
        <f t="shared" si="26"/>
        <v/>
      </c>
    </row>
    <row r="537" spans="2:21" x14ac:dyDescent="0.25">
      <c r="B537">
        <v>5357</v>
      </c>
      <c r="U537" t="str">
        <f t="shared" si="26"/>
        <v/>
      </c>
    </row>
    <row r="538" spans="2:21" x14ac:dyDescent="0.25">
      <c r="B538">
        <v>5367</v>
      </c>
      <c r="U538" t="str">
        <f t="shared" si="26"/>
        <v/>
      </c>
    </row>
    <row r="539" spans="2:21" x14ac:dyDescent="0.25">
      <c r="B539">
        <v>5377</v>
      </c>
      <c r="U539" t="str">
        <f t="shared" si="26"/>
        <v/>
      </c>
    </row>
    <row r="540" spans="2:21" x14ac:dyDescent="0.25">
      <c r="B540">
        <v>5387</v>
      </c>
      <c r="U540" t="str">
        <f t="shared" si="26"/>
        <v/>
      </c>
    </row>
    <row r="541" spans="2:21" x14ac:dyDescent="0.25">
      <c r="B541">
        <v>5397</v>
      </c>
      <c r="U541" t="str">
        <f t="shared" si="26"/>
        <v/>
      </c>
    </row>
    <row r="542" spans="2:21" x14ac:dyDescent="0.25">
      <c r="B542">
        <v>5407</v>
      </c>
      <c r="U542" t="str">
        <f t="shared" si="26"/>
        <v/>
      </c>
    </row>
    <row r="543" spans="2:21" x14ac:dyDescent="0.25">
      <c r="B543">
        <v>5417</v>
      </c>
      <c r="U543" t="str">
        <f t="shared" si="26"/>
        <v/>
      </c>
    </row>
    <row r="544" spans="2:21" x14ac:dyDescent="0.25">
      <c r="B544">
        <v>5427</v>
      </c>
      <c r="U544" t="str">
        <f t="shared" si="26"/>
        <v/>
      </c>
    </row>
    <row r="545" spans="2:21" x14ac:dyDescent="0.25">
      <c r="B545">
        <v>5437</v>
      </c>
      <c r="U545" t="str">
        <f t="shared" si="26"/>
        <v/>
      </c>
    </row>
    <row r="546" spans="2:21" x14ac:dyDescent="0.25">
      <c r="B546">
        <v>5447</v>
      </c>
      <c r="U546" t="str">
        <f t="shared" si="26"/>
        <v/>
      </c>
    </row>
    <row r="547" spans="2:21" x14ac:dyDescent="0.25">
      <c r="B547">
        <v>5457</v>
      </c>
      <c r="U547" t="str">
        <f t="shared" si="26"/>
        <v/>
      </c>
    </row>
    <row r="548" spans="2:21" x14ac:dyDescent="0.25">
      <c r="B548">
        <v>5467</v>
      </c>
      <c r="U548" t="str">
        <f t="shared" si="26"/>
        <v/>
      </c>
    </row>
    <row r="549" spans="2:21" x14ac:dyDescent="0.25">
      <c r="B549">
        <v>5477</v>
      </c>
      <c r="U549" t="str">
        <f t="shared" si="26"/>
        <v/>
      </c>
    </row>
    <row r="550" spans="2:21" x14ac:dyDescent="0.25">
      <c r="B550">
        <v>5487</v>
      </c>
      <c r="U550" t="str">
        <f t="shared" si="26"/>
        <v/>
      </c>
    </row>
    <row r="551" spans="2:21" x14ac:dyDescent="0.25">
      <c r="B551">
        <v>5497</v>
      </c>
      <c r="U551" t="str">
        <f t="shared" si="26"/>
        <v/>
      </c>
    </row>
    <row r="552" spans="2:21" x14ac:dyDescent="0.25">
      <c r="B552">
        <v>5507</v>
      </c>
      <c r="U552" t="str">
        <f t="shared" si="26"/>
        <v/>
      </c>
    </row>
    <row r="553" spans="2:21" x14ac:dyDescent="0.25">
      <c r="B553">
        <v>5517</v>
      </c>
      <c r="U553" t="str">
        <f t="shared" si="26"/>
        <v/>
      </c>
    </row>
    <row r="554" spans="2:21" x14ac:dyDescent="0.25">
      <c r="B554">
        <v>5527</v>
      </c>
      <c r="U554" t="str">
        <f t="shared" si="26"/>
        <v/>
      </c>
    </row>
    <row r="555" spans="2:21" x14ac:dyDescent="0.25">
      <c r="B555">
        <v>5537</v>
      </c>
      <c r="U555" t="str">
        <f t="shared" si="26"/>
        <v/>
      </c>
    </row>
    <row r="556" spans="2:21" x14ac:dyDescent="0.25">
      <c r="B556">
        <v>5547</v>
      </c>
      <c r="U556" t="str">
        <f t="shared" si="26"/>
        <v/>
      </c>
    </row>
    <row r="557" spans="2:21" x14ac:dyDescent="0.25">
      <c r="B557">
        <v>5557</v>
      </c>
      <c r="U557" t="str">
        <f t="shared" si="26"/>
        <v/>
      </c>
    </row>
    <row r="558" spans="2:21" x14ac:dyDescent="0.25">
      <c r="B558">
        <v>5567</v>
      </c>
      <c r="U558" t="str">
        <f t="shared" si="26"/>
        <v/>
      </c>
    </row>
    <row r="559" spans="2:21" x14ac:dyDescent="0.25">
      <c r="B559">
        <v>5577</v>
      </c>
      <c r="U559" t="str">
        <f t="shared" si="26"/>
        <v/>
      </c>
    </row>
    <row r="560" spans="2:21" x14ac:dyDescent="0.25">
      <c r="B560">
        <v>5587</v>
      </c>
      <c r="U560" t="str">
        <f t="shared" si="26"/>
        <v/>
      </c>
    </row>
    <row r="561" spans="2:21" x14ac:dyDescent="0.25">
      <c r="B561">
        <v>5597</v>
      </c>
      <c r="U561" t="str">
        <f t="shared" si="26"/>
        <v/>
      </c>
    </row>
    <row r="562" spans="2:21" x14ac:dyDescent="0.25">
      <c r="B562">
        <v>5607</v>
      </c>
      <c r="U562" t="str">
        <f t="shared" si="26"/>
        <v/>
      </c>
    </row>
    <row r="563" spans="2:21" x14ac:dyDescent="0.25">
      <c r="B563">
        <v>5617</v>
      </c>
      <c r="U563" t="str">
        <f t="shared" si="26"/>
        <v/>
      </c>
    </row>
    <row r="564" spans="2:21" x14ac:dyDescent="0.25">
      <c r="B564">
        <v>5627</v>
      </c>
      <c r="U564" t="str">
        <f t="shared" si="26"/>
        <v/>
      </c>
    </row>
    <row r="565" spans="2:21" x14ac:dyDescent="0.25">
      <c r="B565">
        <v>5637</v>
      </c>
      <c r="U565" t="str">
        <f t="shared" si="26"/>
        <v/>
      </c>
    </row>
    <row r="566" spans="2:21" x14ac:dyDescent="0.25">
      <c r="B566">
        <v>5647</v>
      </c>
      <c r="U566" t="str">
        <f t="shared" si="26"/>
        <v/>
      </c>
    </row>
    <row r="567" spans="2:21" x14ac:dyDescent="0.25">
      <c r="B567">
        <v>5657</v>
      </c>
      <c r="U567" t="str">
        <f t="shared" si="26"/>
        <v/>
      </c>
    </row>
    <row r="568" spans="2:21" x14ac:dyDescent="0.25">
      <c r="B568">
        <v>5667</v>
      </c>
      <c r="U568" t="str">
        <f t="shared" si="26"/>
        <v/>
      </c>
    </row>
    <row r="569" spans="2:21" x14ac:dyDescent="0.25">
      <c r="B569">
        <v>5677</v>
      </c>
      <c r="U569" t="str">
        <f t="shared" si="26"/>
        <v/>
      </c>
    </row>
    <row r="570" spans="2:21" x14ac:dyDescent="0.25">
      <c r="B570">
        <v>5687</v>
      </c>
      <c r="U570" t="str">
        <f t="shared" si="26"/>
        <v/>
      </c>
    </row>
    <row r="571" spans="2:21" x14ac:dyDescent="0.25">
      <c r="B571">
        <v>5697</v>
      </c>
      <c r="U571" t="str">
        <f t="shared" si="26"/>
        <v/>
      </c>
    </row>
    <row r="572" spans="2:21" x14ac:dyDescent="0.25">
      <c r="B572">
        <v>5707</v>
      </c>
      <c r="U572" t="str">
        <f t="shared" si="26"/>
        <v/>
      </c>
    </row>
    <row r="573" spans="2:21" x14ac:dyDescent="0.25">
      <c r="B573">
        <v>5717</v>
      </c>
      <c r="U573" t="str">
        <f t="shared" si="26"/>
        <v/>
      </c>
    </row>
    <row r="574" spans="2:21" x14ac:dyDescent="0.25">
      <c r="B574">
        <v>5727</v>
      </c>
      <c r="U574" t="str">
        <f t="shared" si="26"/>
        <v/>
      </c>
    </row>
    <row r="575" spans="2:21" x14ac:dyDescent="0.25">
      <c r="B575">
        <v>5737</v>
      </c>
      <c r="U575" t="str">
        <f t="shared" si="26"/>
        <v/>
      </c>
    </row>
    <row r="576" spans="2:21" x14ac:dyDescent="0.25">
      <c r="B576">
        <v>5747</v>
      </c>
      <c r="U576" t="str">
        <f t="shared" si="26"/>
        <v/>
      </c>
    </row>
    <row r="577" spans="2:21" x14ac:dyDescent="0.25">
      <c r="B577">
        <v>5757</v>
      </c>
      <c r="U577" t="str">
        <f t="shared" si="26"/>
        <v/>
      </c>
    </row>
    <row r="578" spans="2:21" x14ac:dyDescent="0.25">
      <c r="B578">
        <v>5767</v>
      </c>
      <c r="U578" t="str">
        <f t="shared" si="26"/>
        <v/>
      </c>
    </row>
    <row r="579" spans="2:21" x14ac:dyDescent="0.25">
      <c r="B579">
        <v>5777</v>
      </c>
      <c r="U579" t="str">
        <f t="shared" si="26"/>
        <v/>
      </c>
    </row>
    <row r="580" spans="2:21" x14ac:dyDescent="0.25">
      <c r="B580">
        <v>5787</v>
      </c>
      <c r="U580" t="str">
        <f t="shared" si="26"/>
        <v/>
      </c>
    </row>
    <row r="581" spans="2:21" x14ac:dyDescent="0.25">
      <c r="B581">
        <v>5797</v>
      </c>
      <c r="U581" t="str">
        <f t="shared" si="26"/>
        <v/>
      </c>
    </row>
    <row r="582" spans="2:21" x14ac:dyDescent="0.25">
      <c r="B582">
        <v>5807</v>
      </c>
      <c r="U582" t="str">
        <f t="shared" si="26"/>
        <v/>
      </c>
    </row>
    <row r="583" spans="2:21" x14ac:dyDescent="0.25">
      <c r="B583">
        <v>5817</v>
      </c>
      <c r="U583" t="str">
        <f t="shared" si="26"/>
        <v/>
      </c>
    </row>
    <row r="584" spans="2:21" x14ac:dyDescent="0.25">
      <c r="B584">
        <v>5827</v>
      </c>
      <c r="U584" t="str">
        <f t="shared" si="26"/>
        <v/>
      </c>
    </row>
    <row r="585" spans="2:21" x14ac:dyDescent="0.25">
      <c r="B585">
        <v>5837</v>
      </c>
      <c r="U585" t="str">
        <f t="shared" si="26"/>
        <v/>
      </c>
    </row>
    <row r="586" spans="2:21" x14ac:dyDescent="0.25">
      <c r="B586">
        <v>5847</v>
      </c>
      <c r="U586" t="str">
        <f t="shared" si="26"/>
        <v/>
      </c>
    </row>
    <row r="587" spans="2:21" x14ac:dyDescent="0.25">
      <c r="B587">
        <v>5857</v>
      </c>
      <c r="U587" t="str">
        <f t="shared" si="26"/>
        <v/>
      </c>
    </row>
    <row r="588" spans="2:21" x14ac:dyDescent="0.25">
      <c r="B588">
        <v>5867</v>
      </c>
      <c r="U588" t="str">
        <f t="shared" si="26"/>
        <v/>
      </c>
    </row>
    <row r="589" spans="2:21" x14ac:dyDescent="0.25">
      <c r="B589">
        <v>5877</v>
      </c>
      <c r="U589" t="str">
        <f t="shared" ref="U589:U652" si="27">IF(SUM(P589:S589)=0,"",IF(S589/SUM(P589:S589)&gt;=0.5,"Battle Royale",IF(R589/SUM(P589:R589)&gt;=0.6,"Infantry-Heavy",IF((P589+0.7*Q589)/SUM(P589:R589)&gt;=0.7,"Vehicle-Heavy","Mixed"))))</f>
        <v/>
      </c>
    </row>
    <row r="590" spans="2:21" x14ac:dyDescent="0.25">
      <c r="B590">
        <v>5887</v>
      </c>
      <c r="U590" t="str">
        <f t="shared" si="27"/>
        <v/>
      </c>
    </row>
    <row r="591" spans="2:21" x14ac:dyDescent="0.25">
      <c r="B591">
        <v>5897</v>
      </c>
      <c r="U591" t="str">
        <f t="shared" si="27"/>
        <v/>
      </c>
    </row>
    <row r="592" spans="2:21" x14ac:dyDescent="0.25">
      <c r="B592">
        <v>5907</v>
      </c>
      <c r="U592" t="str">
        <f t="shared" si="27"/>
        <v/>
      </c>
    </row>
    <row r="593" spans="2:21" x14ac:dyDescent="0.25">
      <c r="B593">
        <v>5917</v>
      </c>
      <c r="U593" t="str">
        <f t="shared" si="27"/>
        <v/>
      </c>
    </row>
    <row r="594" spans="2:21" x14ac:dyDescent="0.25">
      <c r="B594">
        <v>5927</v>
      </c>
      <c r="U594" t="str">
        <f t="shared" si="27"/>
        <v/>
      </c>
    </row>
    <row r="595" spans="2:21" x14ac:dyDescent="0.25">
      <c r="B595">
        <v>5937</v>
      </c>
      <c r="U595" t="str">
        <f t="shared" si="27"/>
        <v/>
      </c>
    </row>
    <row r="596" spans="2:21" x14ac:dyDescent="0.25">
      <c r="B596">
        <v>5947</v>
      </c>
      <c r="U596" t="str">
        <f t="shared" si="27"/>
        <v/>
      </c>
    </row>
    <row r="597" spans="2:21" x14ac:dyDescent="0.25">
      <c r="B597">
        <v>5957</v>
      </c>
      <c r="U597" t="str">
        <f t="shared" si="27"/>
        <v/>
      </c>
    </row>
    <row r="598" spans="2:21" x14ac:dyDescent="0.25">
      <c r="B598">
        <v>5967</v>
      </c>
      <c r="U598" t="str">
        <f t="shared" si="27"/>
        <v/>
      </c>
    </row>
    <row r="599" spans="2:21" x14ac:dyDescent="0.25">
      <c r="B599">
        <v>5977</v>
      </c>
      <c r="U599" t="str">
        <f t="shared" si="27"/>
        <v/>
      </c>
    </row>
    <row r="600" spans="2:21" x14ac:dyDescent="0.25">
      <c r="B600">
        <v>5987</v>
      </c>
      <c r="U600" t="str">
        <f t="shared" si="27"/>
        <v/>
      </c>
    </row>
    <row r="601" spans="2:21" x14ac:dyDescent="0.25">
      <c r="B601">
        <v>5997</v>
      </c>
      <c r="U601" t="str">
        <f t="shared" si="27"/>
        <v/>
      </c>
    </row>
    <row r="602" spans="2:21" x14ac:dyDescent="0.25">
      <c r="B602">
        <v>6007</v>
      </c>
      <c r="U602" t="str">
        <f t="shared" si="27"/>
        <v/>
      </c>
    </row>
    <row r="603" spans="2:21" x14ac:dyDescent="0.25">
      <c r="B603">
        <v>6017</v>
      </c>
      <c r="U603" t="str">
        <f t="shared" si="27"/>
        <v/>
      </c>
    </row>
    <row r="604" spans="2:21" x14ac:dyDescent="0.25">
      <c r="B604">
        <v>6027</v>
      </c>
      <c r="U604" t="str">
        <f t="shared" si="27"/>
        <v/>
      </c>
    </row>
    <row r="605" spans="2:21" x14ac:dyDescent="0.25">
      <c r="B605">
        <v>6037</v>
      </c>
      <c r="U605" t="str">
        <f t="shared" si="27"/>
        <v/>
      </c>
    </row>
    <row r="606" spans="2:21" x14ac:dyDescent="0.25">
      <c r="B606">
        <v>6047</v>
      </c>
      <c r="U606" t="str">
        <f t="shared" si="27"/>
        <v/>
      </c>
    </row>
    <row r="607" spans="2:21" x14ac:dyDescent="0.25">
      <c r="B607">
        <v>6057</v>
      </c>
      <c r="U607" t="str">
        <f t="shared" si="27"/>
        <v/>
      </c>
    </row>
    <row r="608" spans="2:21" x14ac:dyDescent="0.25">
      <c r="B608">
        <v>6067</v>
      </c>
      <c r="U608" t="str">
        <f t="shared" si="27"/>
        <v/>
      </c>
    </row>
    <row r="609" spans="2:21" x14ac:dyDescent="0.25">
      <c r="B609">
        <v>6077</v>
      </c>
      <c r="U609" t="str">
        <f t="shared" si="27"/>
        <v/>
      </c>
    </row>
    <row r="610" spans="2:21" x14ac:dyDescent="0.25">
      <c r="B610">
        <v>6087</v>
      </c>
      <c r="U610" t="str">
        <f t="shared" si="27"/>
        <v/>
      </c>
    </row>
    <row r="611" spans="2:21" x14ac:dyDescent="0.25">
      <c r="B611">
        <v>6097</v>
      </c>
      <c r="U611" t="str">
        <f t="shared" si="27"/>
        <v/>
      </c>
    </row>
    <row r="612" spans="2:21" x14ac:dyDescent="0.25">
      <c r="B612">
        <v>6107</v>
      </c>
      <c r="U612" t="str">
        <f t="shared" si="27"/>
        <v/>
      </c>
    </row>
    <row r="613" spans="2:21" x14ac:dyDescent="0.25">
      <c r="B613">
        <v>6117</v>
      </c>
      <c r="U613" t="str">
        <f t="shared" si="27"/>
        <v/>
      </c>
    </row>
    <row r="614" spans="2:21" x14ac:dyDescent="0.25">
      <c r="B614">
        <v>6127</v>
      </c>
      <c r="U614" t="str">
        <f t="shared" si="27"/>
        <v/>
      </c>
    </row>
    <row r="615" spans="2:21" x14ac:dyDescent="0.25">
      <c r="B615">
        <v>6137</v>
      </c>
      <c r="U615" t="str">
        <f t="shared" si="27"/>
        <v/>
      </c>
    </row>
    <row r="616" spans="2:21" x14ac:dyDescent="0.25">
      <c r="B616">
        <v>6147</v>
      </c>
      <c r="U616" t="str">
        <f t="shared" si="27"/>
        <v/>
      </c>
    </row>
    <row r="617" spans="2:21" x14ac:dyDescent="0.25">
      <c r="B617">
        <v>6157</v>
      </c>
      <c r="U617" t="str">
        <f t="shared" si="27"/>
        <v/>
      </c>
    </row>
    <row r="618" spans="2:21" x14ac:dyDescent="0.25">
      <c r="B618">
        <v>6167</v>
      </c>
      <c r="U618" t="str">
        <f t="shared" si="27"/>
        <v/>
      </c>
    </row>
    <row r="619" spans="2:21" x14ac:dyDescent="0.25">
      <c r="B619">
        <v>6177</v>
      </c>
      <c r="U619" t="str">
        <f t="shared" si="27"/>
        <v/>
      </c>
    </row>
    <row r="620" spans="2:21" x14ac:dyDescent="0.25">
      <c r="B620">
        <v>6187</v>
      </c>
      <c r="U620" t="str">
        <f t="shared" si="27"/>
        <v/>
      </c>
    </row>
    <row r="621" spans="2:21" x14ac:dyDescent="0.25">
      <c r="B621">
        <v>6197</v>
      </c>
      <c r="U621" t="str">
        <f t="shared" si="27"/>
        <v/>
      </c>
    </row>
    <row r="622" spans="2:21" x14ac:dyDescent="0.25">
      <c r="B622">
        <v>6207</v>
      </c>
      <c r="U622" t="str">
        <f t="shared" si="27"/>
        <v/>
      </c>
    </row>
    <row r="623" spans="2:21" x14ac:dyDescent="0.25">
      <c r="B623">
        <v>6217</v>
      </c>
      <c r="U623" t="str">
        <f t="shared" si="27"/>
        <v/>
      </c>
    </row>
    <row r="624" spans="2:21" x14ac:dyDescent="0.25">
      <c r="B624">
        <v>6227</v>
      </c>
      <c r="U624" t="str">
        <f t="shared" si="27"/>
        <v/>
      </c>
    </row>
    <row r="625" spans="2:21" x14ac:dyDescent="0.25">
      <c r="B625">
        <v>6237</v>
      </c>
      <c r="U625" t="str">
        <f t="shared" si="27"/>
        <v/>
      </c>
    </row>
    <row r="626" spans="2:21" x14ac:dyDescent="0.25">
      <c r="B626">
        <v>6247</v>
      </c>
      <c r="U626" t="str">
        <f t="shared" si="27"/>
        <v/>
      </c>
    </row>
    <row r="627" spans="2:21" x14ac:dyDescent="0.25">
      <c r="B627">
        <v>6257</v>
      </c>
      <c r="U627" t="str">
        <f t="shared" si="27"/>
        <v/>
      </c>
    </row>
    <row r="628" spans="2:21" x14ac:dyDescent="0.25">
      <c r="B628">
        <v>6267</v>
      </c>
      <c r="U628" t="str">
        <f t="shared" si="27"/>
        <v/>
      </c>
    </row>
    <row r="629" spans="2:21" x14ac:dyDescent="0.25">
      <c r="B629">
        <v>6277</v>
      </c>
      <c r="U629" t="str">
        <f t="shared" si="27"/>
        <v/>
      </c>
    </row>
    <row r="630" spans="2:21" x14ac:dyDescent="0.25">
      <c r="B630">
        <v>6287</v>
      </c>
      <c r="U630" t="str">
        <f t="shared" si="27"/>
        <v/>
      </c>
    </row>
    <row r="631" spans="2:21" x14ac:dyDescent="0.25">
      <c r="B631">
        <v>6297</v>
      </c>
      <c r="U631" t="str">
        <f t="shared" si="27"/>
        <v/>
      </c>
    </row>
    <row r="632" spans="2:21" x14ac:dyDescent="0.25">
      <c r="B632">
        <v>6307</v>
      </c>
      <c r="U632" t="str">
        <f t="shared" si="27"/>
        <v/>
      </c>
    </row>
    <row r="633" spans="2:21" x14ac:dyDescent="0.25">
      <c r="B633">
        <v>6317</v>
      </c>
      <c r="U633" t="str">
        <f t="shared" si="27"/>
        <v/>
      </c>
    </row>
    <row r="634" spans="2:21" x14ac:dyDescent="0.25">
      <c r="B634">
        <v>6327</v>
      </c>
      <c r="U634" t="str">
        <f t="shared" si="27"/>
        <v/>
      </c>
    </row>
    <row r="635" spans="2:21" x14ac:dyDescent="0.25">
      <c r="B635">
        <v>6337</v>
      </c>
      <c r="U635" t="str">
        <f t="shared" si="27"/>
        <v/>
      </c>
    </row>
    <row r="636" spans="2:21" x14ac:dyDescent="0.25">
      <c r="B636">
        <v>6347</v>
      </c>
      <c r="U636" t="str">
        <f t="shared" si="27"/>
        <v/>
      </c>
    </row>
    <row r="637" spans="2:21" x14ac:dyDescent="0.25">
      <c r="B637">
        <v>6357</v>
      </c>
      <c r="U637" t="str">
        <f t="shared" si="27"/>
        <v/>
      </c>
    </row>
    <row r="638" spans="2:21" x14ac:dyDescent="0.25">
      <c r="B638">
        <v>6367</v>
      </c>
      <c r="U638" t="str">
        <f t="shared" si="27"/>
        <v/>
      </c>
    </row>
    <row r="639" spans="2:21" x14ac:dyDescent="0.25">
      <c r="B639">
        <v>6377</v>
      </c>
      <c r="U639" t="str">
        <f t="shared" si="27"/>
        <v/>
      </c>
    </row>
    <row r="640" spans="2:21" x14ac:dyDescent="0.25">
      <c r="B640">
        <v>6387</v>
      </c>
      <c r="U640" t="str">
        <f t="shared" si="27"/>
        <v/>
      </c>
    </row>
    <row r="641" spans="2:21" x14ac:dyDescent="0.25">
      <c r="B641">
        <v>6397</v>
      </c>
      <c r="U641" t="str">
        <f t="shared" si="27"/>
        <v/>
      </c>
    </row>
    <row r="642" spans="2:21" x14ac:dyDescent="0.25">
      <c r="B642">
        <v>6407</v>
      </c>
      <c r="U642" t="str">
        <f t="shared" si="27"/>
        <v/>
      </c>
    </row>
    <row r="643" spans="2:21" x14ac:dyDescent="0.25">
      <c r="B643">
        <v>6417</v>
      </c>
      <c r="U643" t="str">
        <f t="shared" si="27"/>
        <v/>
      </c>
    </row>
    <row r="644" spans="2:21" x14ac:dyDescent="0.25">
      <c r="B644">
        <v>6427</v>
      </c>
      <c r="U644" t="str">
        <f t="shared" si="27"/>
        <v/>
      </c>
    </row>
    <row r="645" spans="2:21" x14ac:dyDescent="0.25">
      <c r="B645">
        <v>6437</v>
      </c>
      <c r="U645" t="str">
        <f t="shared" si="27"/>
        <v/>
      </c>
    </row>
    <row r="646" spans="2:21" x14ac:dyDescent="0.25">
      <c r="B646">
        <v>6447</v>
      </c>
      <c r="U646" t="str">
        <f t="shared" si="27"/>
        <v/>
      </c>
    </row>
    <row r="647" spans="2:21" x14ac:dyDescent="0.25">
      <c r="B647">
        <v>6457</v>
      </c>
      <c r="U647" t="str">
        <f t="shared" si="27"/>
        <v/>
      </c>
    </row>
    <row r="648" spans="2:21" x14ac:dyDescent="0.25">
      <c r="B648">
        <v>6467</v>
      </c>
      <c r="U648" t="str">
        <f t="shared" si="27"/>
        <v/>
      </c>
    </row>
    <row r="649" spans="2:21" x14ac:dyDescent="0.25">
      <c r="B649">
        <v>6477</v>
      </c>
      <c r="U649" t="str">
        <f t="shared" si="27"/>
        <v/>
      </c>
    </row>
    <row r="650" spans="2:21" x14ac:dyDescent="0.25">
      <c r="B650">
        <v>6487</v>
      </c>
      <c r="U650" t="str">
        <f t="shared" si="27"/>
        <v/>
      </c>
    </row>
    <row r="651" spans="2:21" x14ac:dyDescent="0.25">
      <c r="B651">
        <v>6497</v>
      </c>
      <c r="U651" t="str">
        <f t="shared" si="27"/>
        <v/>
      </c>
    </row>
    <row r="652" spans="2:21" x14ac:dyDescent="0.25">
      <c r="B652">
        <v>6507</v>
      </c>
      <c r="U652" t="str">
        <f t="shared" si="27"/>
        <v/>
      </c>
    </row>
    <row r="653" spans="2:21" x14ac:dyDescent="0.25">
      <c r="B653">
        <v>6517</v>
      </c>
      <c r="U653" t="str">
        <f t="shared" ref="U653:U716" si="28">IF(SUM(P653:S653)=0,"",IF(S653/SUM(P653:S653)&gt;=0.5,"Battle Royale",IF(R653/SUM(P653:R653)&gt;=0.6,"Infantry-Heavy",IF((P653+0.7*Q653)/SUM(P653:R653)&gt;=0.7,"Vehicle-Heavy","Mixed"))))</f>
        <v/>
      </c>
    </row>
    <row r="654" spans="2:21" x14ac:dyDescent="0.25">
      <c r="B654">
        <v>6527</v>
      </c>
      <c r="U654" t="str">
        <f t="shared" si="28"/>
        <v/>
      </c>
    </row>
    <row r="655" spans="2:21" x14ac:dyDescent="0.25">
      <c r="B655">
        <v>6537</v>
      </c>
      <c r="U655" t="str">
        <f t="shared" si="28"/>
        <v/>
      </c>
    </row>
    <row r="656" spans="2:21" x14ac:dyDescent="0.25">
      <c r="B656">
        <v>6547</v>
      </c>
      <c r="U656" t="str">
        <f t="shared" si="28"/>
        <v/>
      </c>
    </row>
    <row r="657" spans="2:21" x14ac:dyDescent="0.25">
      <c r="B657">
        <v>6557</v>
      </c>
      <c r="U657" t="str">
        <f t="shared" si="28"/>
        <v/>
      </c>
    </row>
    <row r="658" spans="2:21" x14ac:dyDescent="0.25">
      <c r="B658">
        <v>6567</v>
      </c>
      <c r="U658" t="str">
        <f t="shared" si="28"/>
        <v/>
      </c>
    </row>
    <row r="659" spans="2:21" x14ac:dyDescent="0.25">
      <c r="B659">
        <v>6577</v>
      </c>
      <c r="U659" t="str">
        <f t="shared" si="28"/>
        <v/>
      </c>
    </row>
    <row r="660" spans="2:21" x14ac:dyDescent="0.25">
      <c r="B660">
        <v>6587</v>
      </c>
      <c r="U660" t="str">
        <f t="shared" si="28"/>
        <v/>
      </c>
    </row>
    <row r="661" spans="2:21" x14ac:dyDescent="0.25">
      <c r="B661">
        <v>6597</v>
      </c>
      <c r="U661" t="str">
        <f t="shared" si="28"/>
        <v/>
      </c>
    </row>
    <row r="662" spans="2:21" x14ac:dyDescent="0.25">
      <c r="B662">
        <v>6607</v>
      </c>
      <c r="U662" t="str">
        <f t="shared" si="28"/>
        <v/>
      </c>
    </row>
    <row r="663" spans="2:21" x14ac:dyDescent="0.25">
      <c r="B663">
        <v>6617</v>
      </c>
      <c r="U663" t="str">
        <f t="shared" si="28"/>
        <v/>
      </c>
    </row>
    <row r="664" spans="2:21" x14ac:dyDescent="0.25">
      <c r="B664">
        <v>6627</v>
      </c>
      <c r="U664" t="str">
        <f t="shared" si="28"/>
        <v/>
      </c>
    </row>
    <row r="665" spans="2:21" x14ac:dyDescent="0.25">
      <c r="B665">
        <v>6637</v>
      </c>
      <c r="U665" t="str">
        <f t="shared" si="28"/>
        <v/>
      </c>
    </row>
    <row r="666" spans="2:21" x14ac:dyDescent="0.25">
      <c r="B666">
        <v>6647</v>
      </c>
      <c r="U666" t="str">
        <f t="shared" si="28"/>
        <v/>
      </c>
    </row>
    <row r="667" spans="2:21" x14ac:dyDescent="0.25">
      <c r="B667">
        <v>6657</v>
      </c>
      <c r="U667" t="str">
        <f t="shared" si="28"/>
        <v/>
      </c>
    </row>
    <row r="668" spans="2:21" x14ac:dyDescent="0.25">
      <c r="B668">
        <v>6667</v>
      </c>
      <c r="U668" t="str">
        <f t="shared" si="28"/>
        <v/>
      </c>
    </row>
    <row r="669" spans="2:21" x14ac:dyDescent="0.25">
      <c r="B669">
        <v>6677</v>
      </c>
      <c r="U669" t="str">
        <f t="shared" si="28"/>
        <v/>
      </c>
    </row>
    <row r="670" spans="2:21" x14ac:dyDescent="0.25">
      <c r="B670">
        <v>6687</v>
      </c>
      <c r="U670" t="str">
        <f t="shared" si="28"/>
        <v/>
      </c>
    </row>
    <row r="671" spans="2:21" x14ac:dyDescent="0.25">
      <c r="B671">
        <v>6697</v>
      </c>
      <c r="U671" t="str">
        <f t="shared" si="28"/>
        <v/>
      </c>
    </row>
    <row r="672" spans="2:21" x14ac:dyDescent="0.25">
      <c r="B672">
        <v>6707</v>
      </c>
      <c r="U672" t="str">
        <f t="shared" si="28"/>
        <v/>
      </c>
    </row>
    <row r="673" spans="2:21" x14ac:dyDescent="0.25">
      <c r="B673">
        <v>6717</v>
      </c>
      <c r="U673" t="str">
        <f t="shared" si="28"/>
        <v/>
      </c>
    </row>
    <row r="674" spans="2:21" x14ac:dyDescent="0.25">
      <c r="B674">
        <v>6727</v>
      </c>
      <c r="U674" t="str">
        <f t="shared" si="28"/>
        <v/>
      </c>
    </row>
    <row r="675" spans="2:21" x14ac:dyDescent="0.25">
      <c r="B675">
        <v>6737</v>
      </c>
      <c r="U675" t="str">
        <f t="shared" si="28"/>
        <v/>
      </c>
    </row>
    <row r="676" spans="2:21" x14ac:dyDescent="0.25">
      <c r="B676">
        <v>6747</v>
      </c>
      <c r="U676" t="str">
        <f t="shared" si="28"/>
        <v/>
      </c>
    </row>
    <row r="677" spans="2:21" x14ac:dyDescent="0.25">
      <c r="B677">
        <v>6757</v>
      </c>
      <c r="U677" t="str">
        <f t="shared" si="28"/>
        <v/>
      </c>
    </row>
    <row r="678" spans="2:21" x14ac:dyDescent="0.25">
      <c r="B678">
        <v>6767</v>
      </c>
      <c r="U678" t="str">
        <f t="shared" si="28"/>
        <v/>
      </c>
    </row>
    <row r="679" spans="2:21" x14ac:dyDescent="0.25">
      <c r="B679">
        <v>6777</v>
      </c>
      <c r="U679" t="str">
        <f t="shared" si="28"/>
        <v/>
      </c>
    </row>
    <row r="680" spans="2:21" x14ac:dyDescent="0.25">
      <c r="B680">
        <v>6787</v>
      </c>
      <c r="U680" t="str">
        <f t="shared" si="28"/>
        <v/>
      </c>
    </row>
    <row r="681" spans="2:21" x14ac:dyDescent="0.25">
      <c r="B681">
        <v>6797</v>
      </c>
      <c r="U681" t="str">
        <f t="shared" si="28"/>
        <v/>
      </c>
    </row>
    <row r="682" spans="2:21" x14ac:dyDescent="0.25">
      <c r="B682">
        <v>6807</v>
      </c>
      <c r="U682" t="str">
        <f t="shared" si="28"/>
        <v/>
      </c>
    </row>
    <row r="683" spans="2:21" x14ac:dyDescent="0.25">
      <c r="B683">
        <v>6817</v>
      </c>
      <c r="U683" t="str">
        <f t="shared" si="28"/>
        <v/>
      </c>
    </row>
    <row r="684" spans="2:21" x14ac:dyDescent="0.25">
      <c r="B684">
        <v>6827</v>
      </c>
      <c r="U684" t="str">
        <f t="shared" si="28"/>
        <v/>
      </c>
    </row>
    <row r="685" spans="2:21" x14ac:dyDescent="0.25">
      <c r="B685">
        <v>6837</v>
      </c>
      <c r="U685" t="str">
        <f t="shared" si="28"/>
        <v/>
      </c>
    </row>
    <row r="686" spans="2:21" x14ac:dyDescent="0.25">
      <c r="B686">
        <v>6847</v>
      </c>
      <c r="U686" t="str">
        <f t="shared" si="28"/>
        <v/>
      </c>
    </row>
    <row r="687" spans="2:21" x14ac:dyDescent="0.25">
      <c r="B687">
        <v>6857</v>
      </c>
      <c r="U687" t="str">
        <f t="shared" si="28"/>
        <v/>
      </c>
    </row>
    <row r="688" spans="2:21" x14ac:dyDescent="0.25">
      <c r="B688">
        <v>6867</v>
      </c>
      <c r="U688" t="str">
        <f t="shared" si="28"/>
        <v/>
      </c>
    </row>
    <row r="689" spans="2:21" x14ac:dyDescent="0.25">
      <c r="B689">
        <v>6877</v>
      </c>
      <c r="U689" t="str">
        <f t="shared" si="28"/>
        <v/>
      </c>
    </row>
    <row r="690" spans="2:21" x14ac:dyDescent="0.25">
      <c r="B690">
        <v>6887</v>
      </c>
      <c r="U690" t="str">
        <f t="shared" si="28"/>
        <v/>
      </c>
    </row>
    <row r="691" spans="2:21" x14ac:dyDescent="0.25">
      <c r="B691">
        <v>6897</v>
      </c>
      <c r="U691" t="str">
        <f t="shared" si="28"/>
        <v/>
      </c>
    </row>
    <row r="692" spans="2:21" x14ac:dyDescent="0.25">
      <c r="B692">
        <v>6907</v>
      </c>
      <c r="U692" t="str">
        <f t="shared" si="28"/>
        <v/>
      </c>
    </row>
    <row r="693" spans="2:21" x14ac:dyDescent="0.25">
      <c r="B693">
        <v>6917</v>
      </c>
      <c r="U693" t="str">
        <f t="shared" si="28"/>
        <v/>
      </c>
    </row>
    <row r="694" spans="2:21" x14ac:dyDescent="0.25">
      <c r="B694">
        <v>6927</v>
      </c>
      <c r="U694" t="str">
        <f t="shared" si="28"/>
        <v/>
      </c>
    </row>
    <row r="695" spans="2:21" x14ac:dyDescent="0.25">
      <c r="B695">
        <v>6937</v>
      </c>
      <c r="U695" t="str">
        <f t="shared" si="28"/>
        <v/>
      </c>
    </row>
    <row r="696" spans="2:21" x14ac:dyDescent="0.25">
      <c r="B696">
        <v>6947</v>
      </c>
      <c r="U696" t="str">
        <f t="shared" si="28"/>
        <v/>
      </c>
    </row>
    <row r="697" spans="2:21" x14ac:dyDescent="0.25">
      <c r="B697">
        <v>6957</v>
      </c>
      <c r="U697" t="str">
        <f t="shared" si="28"/>
        <v/>
      </c>
    </row>
    <row r="698" spans="2:21" x14ac:dyDescent="0.25">
      <c r="B698">
        <v>6967</v>
      </c>
      <c r="U698" t="str">
        <f t="shared" si="28"/>
        <v/>
      </c>
    </row>
    <row r="699" spans="2:21" x14ac:dyDescent="0.25">
      <c r="B699">
        <v>6977</v>
      </c>
      <c r="U699" t="str">
        <f t="shared" si="28"/>
        <v/>
      </c>
    </row>
    <row r="700" spans="2:21" x14ac:dyDescent="0.25">
      <c r="B700">
        <v>6987</v>
      </c>
      <c r="U700" t="str">
        <f t="shared" si="28"/>
        <v/>
      </c>
    </row>
    <row r="701" spans="2:21" x14ac:dyDescent="0.25">
      <c r="B701">
        <v>6997</v>
      </c>
      <c r="U701" t="str">
        <f t="shared" si="28"/>
        <v/>
      </c>
    </row>
    <row r="702" spans="2:21" x14ac:dyDescent="0.25">
      <c r="B702">
        <v>7007</v>
      </c>
      <c r="U702" t="str">
        <f t="shared" si="28"/>
        <v/>
      </c>
    </row>
    <row r="703" spans="2:21" x14ac:dyDescent="0.25">
      <c r="B703">
        <v>7017</v>
      </c>
      <c r="U703" t="str">
        <f t="shared" si="28"/>
        <v/>
      </c>
    </row>
    <row r="704" spans="2:21" x14ac:dyDescent="0.25">
      <c r="B704">
        <v>7027</v>
      </c>
      <c r="U704" t="str">
        <f t="shared" si="28"/>
        <v/>
      </c>
    </row>
    <row r="705" spans="2:21" x14ac:dyDescent="0.25">
      <c r="B705">
        <v>7037</v>
      </c>
      <c r="U705" t="str">
        <f t="shared" si="28"/>
        <v/>
      </c>
    </row>
    <row r="706" spans="2:21" x14ac:dyDescent="0.25">
      <c r="B706">
        <v>7047</v>
      </c>
      <c r="U706" t="str">
        <f t="shared" si="28"/>
        <v/>
      </c>
    </row>
    <row r="707" spans="2:21" x14ac:dyDescent="0.25">
      <c r="B707">
        <v>7057</v>
      </c>
      <c r="U707" t="str">
        <f t="shared" si="28"/>
        <v/>
      </c>
    </row>
    <row r="708" spans="2:21" x14ac:dyDescent="0.25">
      <c r="B708">
        <v>7067</v>
      </c>
      <c r="U708" t="str">
        <f t="shared" si="28"/>
        <v/>
      </c>
    </row>
    <row r="709" spans="2:21" x14ac:dyDescent="0.25">
      <c r="B709">
        <v>7077</v>
      </c>
      <c r="U709" t="str">
        <f t="shared" si="28"/>
        <v/>
      </c>
    </row>
    <row r="710" spans="2:21" x14ac:dyDescent="0.25">
      <c r="B710">
        <v>7087</v>
      </c>
      <c r="U710" t="str">
        <f t="shared" si="28"/>
        <v/>
      </c>
    </row>
    <row r="711" spans="2:21" x14ac:dyDescent="0.25">
      <c r="B711">
        <v>7097</v>
      </c>
      <c r="U711" t="str">
        <f t="shared" si="28"/>
        <v/>
      </c>
    </row>
    <row r="712" spans="2:21" x14ac:dyDescent="0.25">
      <c r="B712">
        <v>7107</v>
      </c>
      <c r="U712" t="str">
        <f t="shared" si="28"/>
        <v/>
      </c>
    </row>
    <row r="713" spans="2:21" x14ac:dyDescent="0.25">
      <c r="B713">
        <v>7117</v>
      </c>
      <c r="U713" t="str">
        <f t="shared" si="28"/>
        <v/>
      </c>
    </row>
    <row r="714" spans="2:21" x14ac:dyDescent="0.25">
      <c r="B714">
        <v>7127</v>
      </c>
      <c r="U714" t="str">
        <f t="shared" si="28"/>
        <v/>
      </c>
    </row>
    <row r="715" spans="2:21" x14ac:dyDescent="0.25">
      <c r="B715">
        <v>7137</v>
      </c>
      <c r="U715" t="str">
        <f t="shared" si="28"/>
        <v/>
      </c>
    </row>
    <row r="716" spans="2:21" x14ac:dyDescent="0.25">
      <c r="B716">
        <v>7147</v>
      </c>
      <c r="U716" t="str">
        <f t="shared" si="28"/>
        <v/>
      </c>
    </row>
    <row r="717" spans="2:21" x14ac:dyDescent="0.25">
      <c r="B717">
        <v>7157</v>
      </c>
      <c r="U717" t="str">
        <f t="shared" ref="U717:U780" si="29">IF(SUM(P717:S717)=0,"",IF(S717/SUM(P717:S717)&gt;=0.5,"Battle Royale",IF(R717/SUM(P717:R717)&gt;=0.6,"Infantry-Heavy",IF((P717+0.7*Q717)/SUM(P717:R717)&gt;=0.7,"Vehicle-Heavy","Mixed"))))</f>
        <v/>
      </c>
    </row>
    <row r="718" spans="2:21" x14ac:dyDescent="0.25">
      <c r="B718">
        <v>7167</v>
      </c>
      <c r="U718" t="str">
        <f t="shared" si="29"/>
        <v/>
      </c>
    </row>
    <row r="719" spans="2:21" x14ac:dyDescent="0.25">
      <c r="B719">
        <v>7177</v>
      </c>
      <c r="U719" t="str">
        <f t="shared" si="29"/>
        <v/>
      </c>
    </row>
    <row r="720" spans="2:21" x14ac:dyDescent="0.25">
      <c r="B720">
        <v>7187</v>
      </c>
      <c r="U720" t="str">
        <f t="shared" si="29"/>
        <v/>
      </c>
    </row>
    <row r="721" spans="2:21" x14ac:dyDescent="0.25">
      <c r="B721">
        <v>7197</v>
      </c>
      <c r="U721" t="str">
        <f t="shared" si="29"/>
        <v/>
      </c>
    </row>
    <row r="722" spans="2:21" x14ac:dyDescent="0.25">
      <c r="B722">
        <v>7207</v>
      </c>
      <c r="U722" t="str">
        <f t="shared" si="29"/>
        <v/>
      </c>
    </row>
    <row r="723" spans="2:21" x14ac:dyDescent="0.25">
      <c r="B723">
        <v>7217</v>
      </c>
      <c r="U723" t="str">
        <f t="shared" si="29"/>
        <v/>
      </c>
    </row>
    <row r="724" spans="2:21" x14ac:dyDescent="0.25">
      <c r="B724">
        <v>7227</v>
      </c>
      <c r="U724" t="str">
        <f t="shared" si="29"/>
        <v/>
      </c>
    </row>
    <row r="725" spans="2:21" x14ac:dyDescent="0.25">
      <c r="B725">
        <v>7237</v>
      </c>
      <c r="U725" t="str">
        <f t="shared" si="29"/>
        <v/>
      </c>
    </row>
    <row r="726" spans="2:21" x14ac:dyDescent="0.25">
      <c r="B726">
        <v>7247</v>
      </c>
      <c r="U726" t="str">
        <f t="shared" si="29"/>
        <v/>
      </c>
    </row>
    <row r="727" spans="2:21" x14ac:dyDescent="0.25">
      <c r="B727">
        <v>7257</v>
      </c>
      <c r="U727" t="str">
        <f t="shared" si="29"/>
        <v/>
      </c>
    </row>
    <row r="728" spans="2:21" x14ac:dyDescent="0.25">
      <c r="B728">
        <v>7267</v>
      </c>
      <c r="U728" t="str">
        <f t="shared" si="29"/>
        <v/>
      </c>
    </row>
    <row r="729" spans="2:21" x14ac:dyDescent="0.25">
      <c r="B729">
        <v>7277</v>
      </c>
      <c r="U729" t="str">
        <f t="shared" si="29"/>
        <v/>
      </c>
    </row>
    <row r="730" spans="2:21" x14ac:dyDescent="0.25">
      <c r="B730">
        <v>7287</v>
      </c>
      <c r="U730" t="str">
        <f t="shared" si="29"/>
        <v/>
      </c>
    </row>
    <row r="731" spans="2:21" x14ac:dyDescent="0.25">
      <c r="B731">
        <v>7297</v>
      </c>
      <c r="U731" t="str">
        <f t="shared" si="29"/>
        <v/>
      </c>
    </row>
    <row r="732" spans="2:21" x14ac:dyDescent="0.25">
      <c r="B732">
        <v>7307</v>
      </c>
      <c r="U732" t="str">
        <f t="shared" si="29"/>
        <v/>
      </c>
    </row>
    <row r="733" spans="2:21" x14ac:dyDescent="0.25">
      <c r="B733">
        <v>7317</v>
      </c>
      <c r="U733" t="str">
        <f t="shared" si="29"/>
        <v/>
      </c>
    </row>
    <row r="734" spans="2:21" x14ac:dyDescent="0.25">
      <c r="B734">
        <v>7327</v>
      </c>
      <c r="U734" t="str">
        <f t="shared" si="29"/>
        <v/>
      </c>
    </row>
    <row r="735" spans="2:21" x14ac:dyDescent="0.25">
      <c r="B735">
        <v>7337</v>
      </c>
      <c r="U735" t="str">
        <f t="shared" si="29"/>
        <v/>
      </c>
    </row>
    <row r="736" spans="2:21" x14ac:dyDescent="0.25">
      <c r="B736">
        <v>7347</v>
      </c>
      <c r="U736" t="str">
        <f t="shared" si="29"/>
        <v/>
      </c>
    </row>
    <row r="737" spans="2:21" x14ac:dyDescent="0.25">
      <c r="B737">
        <v>7357</v>
      </c>
      <c r="U737" t="str">
        <f t="shared" si="29"/>
        <v/>
      </c>
    </row>
    <row r="738" spans="2:21" x14ac:dyDescent="0.25">
      <c r="B738">
        <v>7367</v>
      </c>
      <c r="U738" t="str">
        <f t="shared" si="29"/>
        <v/>
      </c>
    </row>
    <row r="739" spans="2:21" x14ac:dyDescent="0.25">
      <c r="B739">
        <v>7377</v>
      </c>
      <c r="U739" t="str">
        <f t="shared" si="29"/>
        <v/>
      </c>
    </row>
    <row r="740" spans="2:21" x14ac:dyDescent="0.25">
      <c r="B740">
        <v>7387</v>
      </c>
      <c r="U740" t="str">
        <f t="shared" si="29"/>
        <v/>
      </c>
    </row>
    <row r="741" spans="2:21" x14ac:dyDescent="0.25">
      <c r="B741">
        <v>7397</v>
      </c>
      <c r="U741" t="str">
        <f t="shared" si="29"/>
        <v/>
      </c>
    </row>
    <row r="742" spans="2:21" x14ac:dyDescent="0.25">
      <c r="B742">
        <v>7407</v>
      </c>
      <c r="U742" t="str">
        <f t="shared" si="29"/>
        <v/>
      </c>
    </row>
    <row r="743" spans="2:21" x14ac:dyDescent="0.25">
      <c r="B743">
        <v>7417</v>
      </c>
      <c r="U743" t="str">
        <f t="shared" si="29"/>
        <v/>
      </c>
    </row>
    <row r="744" spans="2:21" x14ac:dyDescent="0.25">
      <c r="B744">
        <v>7427</v>
      </c>
      <c r="U744" t="str">
        <f t="shared" si="29"/>
        <v/>
      </c>
    </row>
    <row r="745" spans="2:21" x14ac:dyDescent="0.25">
      <c r="B745">
        <v>7437</v>
      </c>
      <c r="U745" t="str">
        <f t="shared" si="29"/>
        <v/>
      </c>
    </row>
    <row r="746" spans="2:21" x14ac:dyDescent="0.25">
      <c r="B746">
        <v>7447</v>
      </c>
      <c r="U746" t="str">
        <f t="shared" si="29"/>
        <v/>
      </c>
    </row>
    <row r="747" spans="2:21" x14ac:dyDescent="0.25">
      <c r="B747">
        <v>7457</v>
      </c>
      <c r="U747" t="str">
        <f t="shared" si="29"/>
        <v/>
      </c>
    </row>
    <row r="748" spans="2:21" x14ac:dyDescent="0.25">
      <c r="B748">
        <v>7467</v>
      </c>
      <c r="U748" t="str">
        <f t="shared" si="29"/>
        <v/>
      </c>
    </row>
    <row r="749" spans="2:21" x14ac:dyDescent="0.25">
      <c r="B749">
        <v>7477</v>
      </c>
      <c r="U749" t="str">
        <f t="shared" si="29"/>
        <v/>
      </c>
    </row>
    <row r="750" spans="2:21" x14ac:dyDescent="0.25">
      <c r="B750">
        <v>7487</v>
      </c>
      <c r="U750" t="str">
        <f t="shared" si="29"/>
        <v/>
      </c>
    </row>
    <row r="751" spans="2:21" x14ac:dyDescent="0.25">
      <c r="B751">
        <v>7497</v>
      </c>
      <c r="U751" t="str">
        <f t="shared" si="29"/>
        <v/>
      </c>
    </row>
    <row r="752" spans="2:21" x14ac:dyDescent="0.25">
      <c r="B752">
        <v>7507</v>
      </c>
      <c r="U752" t="str">
        <f t="shared" si="29"/>
        <v/>
      </c>
    </row>
    <row r="753" spans="2:21" x14ac:dyDescent="0.25">
      <c r="B753">
        <v>7517</v>
      </c>
      <c r="U753" t="str">
        <f t="shared" si="29"/>
        <v/>
      </c>
    </row>
    <row r="754" spans="2:21" x14ac:dyDescent="0.25">
      <c r="B754">
        <v>7527</v>
      </c>
      <c r="U754" t="str">
        <f t="shared" si="29"/>
        <v/>
      </c>
    </row>
    <row r="755" spans="2:21" x14ac:dyDescent="0.25">
      <c r="B755">
        <v>7537</v>
      </c>
      <c r="U755" t="str">
        <f t="shared" si="29"/>
        <v/>
      </c>
    </row>
    <row r="756" spans="2:21" x14ac:dyDescent="0.25">
      <c r="B756">
        <v>7547</v>
      </c>
      <c r="U756" t="str">
        <f t="shared" si="29"/>
        <v/>
      </c>
    </row>
    <row r="757" spans="2:21" x14ac:dyDescent="0.25">
      <c r="B757">
        <v>7557</v>
      </c>
      <c r="U757" t="str">
        <f t="shared" si="29"/>
        <v/>
      </c>
    </row>
    <row r="758" spans="2:21" x14ac:dyDescent="0.25">
      <c r="B758">
        <v>7567</v>
      </c>
      <c r="U758" t="str">
        <f t="shared" si="29"/>
        <v/>
      </c>
    </row>
    <row r="759" spans="2:21" x14ac:dyDescent="0.25">
      <c r="B759">
        <v>7577</v>
      </c>
      <c r="U759" t="str">
        <f t="shared" si="29"/>
        <v/>
      </c>
    </row>
    <row r="760" spans="2:21" x14ac:dyDescent="0.25">
      <c r="B760">
        <v>7587</v>
      </c>
      <c r="U760" t="str">
        <f t="shared" si="29"/>
        <v/>
      </c>
    </row>
    <row r="761" spans="2:21" x14ac:dyDescent="0.25">
      <c r="B761">
        <v>7597</v>
      </c>
      <c r="U761" t="str">
        <f t="shared" si="29"/>
        <v/>
      </c>
    </row>
    <row r="762" spans="2:21" x14ac:dyDescent="0.25">
      <c r="B762">
        <v>7607</v>
      </c>
      <c r="U762" t="str">
        <f t="shared" si="29"/>
        <v/>
      </c>
    </row>
    <row r="763" spans="2:21" x14ac:dyDescent="0.25">
      <c r="B763">
        <v>7617</v>
      </c>
      <c r="U763" t="str">
        <f t="shared" si="29"/>
        <v/>
      </c>
    </row>
    <row r="764" spans="2:21" x14ac:dyDescent="0.25">
      <c r="B764">
        <v>7627</v>
      </c>
      <c r="U764" t="str">
        <f t="shared" si="29"/>
        <v/>
      </c>
    </row>
    <row r="765" spans="2:21" x14ac:dyDescent="0.25">
      <c r="B765">
        <v>7637</v>
      </c>
      <c r="U765" t="str">
        <f t="shared" si="29"/>
        <v/>
      </c>
    </row>
    <row r="766" spans="2:21" x14ac:dyDescent="0.25">
      <c r="B766">
        <v>7647</v>
      </c>
      <c r="U766" t="str">
        <f t="shared" si="29"/>
        <v/>
      </c>
    </row>
    <row r="767" spans="2:21" x14ac:dyDescent="0.25">
      <c r="B767">
        <v>7657</v>
      </c>
      <c r="U767" t="str">
        <f t="shared" si="29"/>
        <v/>
      </c>
    </row>
    <row r="768" spans="2:21" x14ac:dyDescent="0.25">
      <c r="B768">
        <v>7667</v>
      </c>
      <c r="U768" t="str">
        <f t="shared" si="29"/>
        <v/>
      </c>
    </row>
    <row r="769" spans="2:21" x14ac:dyDescent="0.25">
      <c r="B769">
        <v>7677</v>
      </c>
      <c r="U769" t="str">
        <f t="shared" si="29"/>
        <v/>
      </c>
    </row>
    <row r="770" spans="2:21" x14ac:dyDescent="0.25">
      <c r="B770">
        <v>7687</v>
      </c>
      <c r="U770" t="str">
        <f t="shared" si="29"/>
        <v/>
      </c>
    </row>
    <row r="771" spans="2:21" x14ac:dyDescent="0.25">
      <c r="B771">
        <v>7697</v>
      </c>
      <c r="U771" t="str">
        <f t="shared" si="29"/>
        <v/>
      </c>
    </row>
    <row r="772" spans="2:21" x14ac:dyDescent="0.25">
      <c r="B772">
        <v>7707</v>
      </c>
      <c r="U772" t="str">
        <f t="shared" si="29"/>
        <v/>
      </c>
    </row>
    <row r="773" spans="2:21" x14ac:dyDescent="0.25">
      <c r="B773">
        <v>7717</v>
      </c>
      <c r="U773" t="str">
        <f t="shared" si="29"/>
        <v/>
      </c>
    </row>
    <row r="774" spans="2:21" x14ac:dyDescent="0.25">
      <c r="B774">
        <v>7727</v>
      </c>
      <c r="U774" t="str">
        <f t="shared" si="29"/>
        <v/>
      </c>
    </row>
    <row r="775" spans="2:21" x14ac:dyDescent="0.25">
      <c r="B775">
        <v>7737</v>
      </c>
      <c r="U775" t="str">
        <f t="shared" si="29"/>
        <v/>
      </c>
    </row>
    <row r="776" spans="2:21" x14ac:dyDescent="0.25">
      <c r="B776">
        <v>7747</v>
      </c>
      <c r="U776" t="str">
        <f t="shared" si="29"/>
        <v/>
      </c>
    </row>
    <row r="777" spans="2:21" x14ac:dyDescent="0.25">
      <c r="B777">
        <v>7757</v>
      </c>
      <c r="U777" t="str">
        <f t="shared" si="29"/>
        <v/>
      </c>
    </row>
    <row r="778" spans="2:21" x14ac:dyDescent="0.25">
      <c r="B778">
        <v>7767</v>
      </c>
      <c r="U778" t="str">
        <f t="shared" si="29"/>
        <v/>
      </c>
    </row>
    <row r="779" spans="2:21" x14ac:dyDescent="0.25">
      <c r="B779">
        <v>7777</v>
      </c>
      <c r="U779" t="str">
        <f t="shared" si="29"/>
        <v/>
      </c>
    </row>
    <row r="780" spans="2:21" x14ac:dyDescent="0.25">
      <c r="B780">
        <v>7787</v>
      </c>
      <c r="U780" t="str">
        <f t="shared" si="29"/>
        <v/>
      </c>
    </row>
    <row r="781" spans="2:21" x14ac:dyDescent="0.25">
      <c r="B781">
        <v>7797</v>
      </c>
      <c r="U781" t="str">
        <f t="shared" ref="U781:U844" si="30">IF(SUM(P781:S781)=0,"",IF(S781/SUM(P781:S781)&gt;=0.5,"Battle Royale",IF(R781/SUM(P781:R781)&gt;=0.6,"Infantry-Heavy",IF((P781+0.7*Q781)/SUM(P781:R781)&gt;=0.7,"Vehicle-Heavy","Mixed"))))</f>
        <v/>
      </c>
    </row>
    <row r="782" spans="2:21" x14ac:dyDescent="0.25">
      <c r="B782">
        <v>7807</v>
      </c>
      <c r="U782" t="str">
        <f t="shared" si="30"/>
        <v/>
      </c>
    </row>
    <row r="783" spans="2:21" x14ac:dyDescent="0.25">
      <c r="B783">
        <v>7817</v>
      </c>
      <c r="U783" t="str">
        <f t="shared" si="30"/>
        <v/>
      </c>
    </row>
    <row r="784" spans="2:21" x14ac:dyDescent="0.25">
      <c r="B784">
        <v>7827</v>
      </c>
      <c r="U784" t="str">
        <f t="shared" si="30"/>
        <v/>
      </c>
    </row>
    <row r="785" spans="2:21" x14ac:dyDescent="0.25">
      <c r="B785">
        <v>7837</v>
      </c>
      <c r="U785" t="str">
        <f t="shared" si="30"/>
        <v/>
      </c>
    </row>
    <row r="786" spans="2:21" x14ac:dyDescent="0.25">
      <c r="B786">
        <v>7847</v>
      </c>
      <c r="U786" t="str">
        <f t="shared" si="30"/>
        <v/>
      </c>
    </row>
    <row r="787" spans="2:21" x14ac:dyDescent="0.25">
      <c r="B787">
        <v>7857</v>
      </c>
      <c r="U787" t="str">
        <f t="shared" si="30"/>
        <v/>
      </c>
    </row>
    <row r="788" spans="2:21" x14ac:dyDescent="0.25">
      <c r="B788">
        <v>7867</v>
      </c>
      <c r="U788" t="str">
        <f t="shared" si="30"/>
        <v/>
      </c>
    </row>
    <row r="789" spans="2:21" x14ac:dyDescent="0.25">
      <c r="B789">
        <v>7877</v>
      </c>
      <c r="U789" t="str">
        <f t="shared" si="30"/>
        <v/>
      </c>
    </row>
    <row r="790" spans="2:21" x14ac:dyDescent="0.25">
      <c r="B790">
        <v>7887</v>
      </c>
      <c r="U790" t="str">
        <f t="shared" si="30"/>
        <v/>
      </c>
    </row>
    <row r="791" spans="2:21" x14ac:dyDescent="0.25">
      <c r="B791">
        <v>7897</v>
      </c>
      <c r="U791" t="str">
        <f t="shared" si="30"/>
        <v/>
      </c>
    </row>
    <row r="792" spans="2:21" x14ac:dyDescent="0.25">
      <c r="B792">
        <v>7907</v>
      </c>
      <c r="U792" t="str">
        <f t="shared" si="30"/>
        <v/>
      </c>
    </row>
    <row r="793" spans="2:21" x14ac:dyDescent="0.25">
      <c r="B793">
        <v>7917</v>
      </c>
      <c r="U793" t="str">
        <f t="shared" si="30"/>
        <v/>
      </c>
    </row>
    <row r="794" spans="2:21" x14ac:dyDescent="0.25">
      <c r="B794">
        <v>7927</v>
      </c>
      <c r="U794" t="str">
        <f t="shared" si="30"/>
        <v/>
      </c>
    </row>
    <row r="795" spans="2:21" x14ac:dyDescent="0.25">
      <c r="B795">
        <v>7937</v>
      </c>
      <c r="U795" t="str">
        <f t="shared" si="30"/>
        <v/>
      </c>
    </row>
    <row r="796" spans="2:21" x14ac:dyDescent="0.25">
      <c r="B796">
        <v>7947</v>
      </c>
      <c r="U796" t="str">
        <f t="shared" si="30"/>
        <v/>
      </c>
    </row>
    <row r="797" spans="2:21" x14ac:dyDescent="0.25">
      <c r="B797">
        <v>7957</v>
      </c>
      <c r="U797" t="str">
        <f t="shared" si="30"/>
        <v/>
      </c>
    </row>
    <row r="798" spans="2:21" x14ac:dyDescent="0.25">
      <c r="B798">
        <v>7967</v>
      </c>
      <c r="U798" t="str">
        <f t="shared" si="30"/>
        <v/>
      </c>
    </row>
    <row r="799" spans="2:21" x14ac:dyDescent="0.25">
      <c r="B799">
        <v>7977</v>
      </c>
      <c r="U799" t="str">
        <f t="shared" si="30"/>
        <v/>
      </c>
    </row>
    <row r="800" spans="2:21" x14ac:dyDescent="0.25">
      <c r="B800">
        <v>7987</v>
      </c>
      <c r="U800" t="str">
        <f t="shared" si="30"/>
        <v/>
      </c>
    </row>
    <row r="801" spans="2:21" x14ac:dyDescent="0.25">
      <c r="B801">
        <v>7997</v>
      </c>
      <c r="U801" t="str">
        <f t="shared" si="30"/>
        <v/>
      </c>
    </row>
    <row r="802" spans="2:21" x14ac:dyDescent="0.25">
      <c r="B802">
        <v>8007</v>
      </c>
      <c r="U802" t="str">
        <f t="shared" si="30"/>
        <v/>
      </c>
    </row>
    <row r="803" spans="2:21" x14ac:dyDescent="0.25">
      <c r="B803">
        <v>8017</v>
      </c>
      <c r="U803" t="str">
        <f t="shared" si="30"/>
        <v/>
      </c>
    </row>
    <row r="804" spans="2:21" x14ac:dyDescent="0.25">
      <c r="B804">
        <v>8027</v>
      </c>
      <c r="U804" t="str">
        <f t="shared" si="30"/>
        <v/>
      </c>
    </row>
    <row r="805" spans="2:21" x14ac:dyDescent="0.25">
      <c r="B805">
        <v>8037</v>
      </c>
      <c r="U805" t="str">
        <f t="shared" si="30"/>
        <v/>
      </c>
    </row>
    <row r="806" spans="2:21" x14ac:dyDescent="0.25">
      <c r="B806">
        <v>8047</v>
      </c>
      <c r="U806" t="str">
        <f t="shared" si="30"/>
        <v/>
      </c>
    </row>
    <row r="807" spans="2:21" x14ac:dyDescent="0.25">
      <c r="B807">
        <v>8057</v>
      </c>
      <c r="U807" t="str">
        <f t="shared" si="30"/>
        <v/>
      </c>
    </row>
    <row r="808" spans="2:21" x14ac:dyDescent="0.25">
      <c r="B808">
        <v>8067</v>
      </c>
      <c r="U808" t="str">
        <f t="shared" si="30"/>
        <v/>
      </c>
    </row>
    <row r="809" spans="2:21" x14ac:dyDescent="0.25">
      <c r="B809">
        <v>8077</v>
      </c>
      <c r="U809" t="str">
        <f t="shared" si="30"/>
        <v/>
      </c>
    </row>
    <row r="810" spans="2:21" x14ac:dyDescent="0.25">
      <c r="B810">
        <v>8087</v>
      </c>
      <c r="U810" t="str">
        <f t="shared" si="30"/>
        <v/>
      </c>
    </row>
    <row r="811" spans="2:21" x14ac:dyDescent="0.25">
      <c r="B811">
        <v>8097</v>
      </c>
      <c r="U811" t="str">
        <f t="shared" si="30"/>
        <v/>
      </c>
    </row>
    <row r="812" spans="2:21" x14ac:dyDescent="0.25">
      <c r="B812">
        <v>8107</v>
      </c>
      <c r="U812" t="str">
        <f t="shared" si="30"/>
        <v/>
      </c>
    </row>
    <row r="813" spans="2:21" x14ac:dyDescent="0.25">
      <c r="B813">
        <v>8117</v>
      </c>
      <c r="U813" t="str">
        <f t="shared" si="30"/>
        <v/>
      </c>
    </row>
    <row r="814" spans="2:21" x14ac:dyDescent="0.25">
      <c r="B814">
        <v>8127</v>
      </c>
      <c r="U814" t="str">
        <f t="shared" si="30"/>
        <v/>
      </c>
    </row>
    <row r="815" spans="2:21" x14ac:dyDescent="0.25">
      <c r="B815">
        <v>8137</v>
      </c>
      <c r="U815" t="str">
        <f t="shared" si="30"/>
        <v/>
      </c>
    </row>
    <row r="816" spans="2:21" x14ac:dyDescent="0.25">
      <c r="B816">
        <v>8147</v>
      </c>
      <c r="U816" t="str">
        <f t="shared" si="30"/>
        <v/>
      </c>
    </row>
    <row r="817" spans="2:21" x14ac:dyDescent="0.25">
      <c r="B817">
        <v>8157</v>
      </c>
      <c r="U817" t="str">
        <f t="shared" si="30"/>
        <v/>
      </c>
    </row>
    <row r="818" spans="2:21" x14ac:dyDescent="0.25">
      <c r="B818">
        <v>8167</v>
      </c>
      <c r="U818" t="str">
        <f t="shared" si="30"/>
        <v/>
      </c>
    </row>
    <row r="819" spans="2:21" x14ac:dyDescent="0.25">
      <c r="B819">
        <v>8177</v>
      </c>
      <c r="U819" t="str">
        <f t="shared" si="30"/>
        <v/>
      </c>
    </row>
    <row r="820" spans="2:21" x14ac:dyDescent="0.25">
      <c r="B820">
        <v>8187</v>
      </c>
      <c r="U820" t="str">
        <f t="shared" si="30"/>
        <v/>
      </c>
    </row>
    <row r="821" spans="2:21" x14ac:dyDescent="0.25">
      <c r="B821">
        <v>8197</v>
      </c>
      <c r="U821" t="str">
        <f t="shared" si="30"/>
        <v/>
      </c>
    </row>
    <row r="822" spans="2:21" x14ac:dyDescent="0.25">
      <c r="B822">
        <v>8207</v>
      </c>
      <c r="U822" t="str">
        <f t="shared" si="30"/>
        <v/>
      </c>
    </row>
    <row r="823" spans="2:21" x14ac:dyDescent="0.25">
      <c r="B823">
        <v>8217</v>
      </c>
      <c r="U823" t="str">
        <f t="shared" si="30"/>
        <v/>
      </c>
    </row>
    <row r="824" spans="2:21" x14ac:dyDescent="0.25">
      <c r="B824">
        <v>8227</v>
      </c>
      <c r="U824" t="str">
        <f t="shared" si="30"/>
        <v/>
      </c>
    </row>
    <row r="825" spans="2:21" x14ac:dyDescent="0.25">
      <c r="B825">
        <v>8237</v>
      </c>
      <c r="U825" t="str">
        <f t="shared" si="30"/>
        <v/>
      </c>
    </row>
    <row r="826" spans="2:21" x14ac:dyDescent="0.25">
      <c r="B826">
        <v>8247</v>
      </c>
      <c r="U826" t="str">
        <f t="shared" si="30"/>
        <v/>
      </c>
    </row>
    <row r="827" spans="2:21" x14ac:dyDescent="0.25">
      <c r="B827">
        <v>8257</v>
      </c>
      <c r="U827" t="str">
        <f t="shared" si="30"/>
        <v/>
      </c>
    </row>
    <row r="828" spans="2:21" x14ac:dyDescent="0.25">
      <c r="B828">
        <v>8267</v>
      </c>
      <c r="U828" t="str">
        <f t="shared" si="30"/>
        <v/>
      </c>
    </row>
    <row r="829" spans="2:21" x14ac:dyDescent="0.25">
      <c r="B829">
        <v>8277</v>
      </c>
      <c r="U829" t="str">
        <f t="shared" si="30"/>
        <v/>
      </c>
    </row>
    <row r="830" spans="2:21" x14ac:dyDescent="0.25">
      <c r="B830">
        <v>8287</v>
      </c>
      <c r="U830" t="str">
        <f t="shared" si="30"/>
        <v/>
      </c>
    </row>
    <row r="831" spans="2:21" x14ac:dyDescent="0.25">
      <c r="B831">
        <v>8297</v>
      </c>
      <c r="U831" t="str">
        <f t="shared" si="30"/>
        <v/>
      </c>
    </row>
    <row r="832" spans="2:21" x14ac:dyDescent="0.25">
      <c r="B832">
        <v>8307</v>
      </c>
      <c r="U832" t="str">
        <f t="shared" si="30"/>
        <v/>
      </c>
    </row>
    <row r="833" spans="2:21" x14ac:dyDescent="0.25">
      <c r="B833">
        <v>8317</v>
      </c>
      <c r="U833" t="str">
        <f t="shared" si="30"/>
        <v/>
      </c>
    </row>
    <row r="834" spans="2:21" x14ac:dyDescent="0.25">
      <c r="B834">
        <v>8327</v>
      </c>
      <c r="U834" t="str">
        <f t="shared" si="30"/>
        <v/>
      </c>
    </row>
    <row r="835" spans="2:21" x14ac:dyDescent="0.25">
      <c r="B835">
        <v>8337</v>
      </c>
      <c r="U835" t="str">
        <f t="shared" si="30"/>
        <v/>
      </c>
    </row>
    <row r="836" spans="2:21" x14ac:dyDescent="0.25">
      <c r="B836">
        <v>8347</v>
      </c>
      <c r="U836" t="str">
        <f t="shared" si="30"/>
        <v/>
      </c>
    </row>
    <row r="837" spans="2:21" x14ac:dyDescent="0.25">
      <c r="B837">
        <v>8357</v>
      </c>
      <c r="U837" t="str">
        <f t="shared" si="30"/>
        <v/>
      </c>
    </row>
    <row r="838" spans="2:21" x14ac:dyDescent="0.25">
      <c r="B838">
        <v>8367</v>
      </c>
      <c r="U838" t="str">
        <f t="shared" si="30"/>
        <v/>
      </c>
    </row>
    <row r="839" spans="2:21" x14ac:dyDescent="0.25">
      <c r="B839">
        <v>8377</v>
      </c>
      <c r="U839" t="str">
        <f t="shared" si="30"/>
        <v/>
      </c>
    </row>
    <row r="840" spans="2:21" x14ac:dyDescent="0.25">
      <c r="B840">
        <v>8387</v>
      </c>
      <c r="U840" t="str">
        <f t="shared" si="30"/>
        <v/>
      </c>
    </row>
    <row r="841" spans="2:21" x14ac:dyDescent="0.25">
      <c r="B841">
        <v>8397</v>
      </c>
      <c r="U841" t="str">
        <f t="shared" si="30"/>
        <v/>
      </c>
    </row>
    <row r="842" spans="2:21" x14ac:dyDescent="0.25">
      <c r="B842">
        <v>8407</v>
      </c>
      <c r="U842" t="str">
        <f t="shared" si="30"/>
        <v/>
      </c>
    </row>
    <row r="843" spans="2:21" x14ac:dyDescent="0.25">
      <c r="B843">
        <v>8417</v>
      </c>
      <c r="U843" t="str">
        <f t="shared" si="30"/>
        <v/>
      </c>
    </row>
    <row r="844" spans="2:21" x14ac:dyDescent="0.25">
      <c r="B844">
        <v>8427</v>
      </c>
      <c r="U844" t="str">
        <f t="shared" si="30"/>
        <v/>
      </c>
    </row>
    <row r="845" spans="2:21" x14ac:dyDescent="0.25">
      <c r="B845">
        <v>8437</v>
      </c>
      <c r="U845" t="str">
        <f t="shared" ref="U845:U908" si="31">IF(SUM(P845:S845)=0,"",IF(S845/SUM(P845:S845)&gt;=0.5,"Battle Royale",IF(R845/SUM(P845:R845)&gt;=0.6,"Infantry-Heavy",IF((P845+0.7*Q845)/SUM(P845:R845)&gt;=0.7,"Vehicle-Heavy","Mixed"))))</f>
        <v/>
      </c>
    </row>
    <row r="846" spans="2:21" x14ac:dyDescent="0.25">
      <c r="B846">
        <v>8447</v>
      </c>
      <c r="U846" t="str">
        <f t="shared" si="31"/>
        <v/>
      </c>
    </row>
    <row r="847" spans="2:21" x14ac:dyDescent="0.25">
      <c r="B847">
        <v>8457</v>
      </c>
      <c r="U847" t="str">
        <f t="shared" si="31"/>
        <v/>
      </c>
    </row>
    <row r="848" spans="2:21" x14ac:dyDescent="0.25">
      <c r="B848">
        <v>8467</v>
      </c>
      <c r="U848" t="str">
        <f t="shared" si="31"/>
        <v/>
      </c>
    </row>
    <row r="849" spans="2:21" x14ac:dyDescent="0.25">
      <c r="B849">
        <v>8477</v>
      </c>
      <c r="U849" t="str">
        <f t="shared" si="31"/>
        <v/>
      </c>
    </row>
    <row r="850" spans="2:21" x14ac:dyDescent="0.25">
      <c r="B850">
        <v>8487</v>
      </c>
      <c r="U850" t="str">
        <f t="shared" si="31"/>
        <v/>
      </c>
    </row>
    <row r="851" spans="2:21" x14ac:dyDescent="0.25">
      <c r="B851">
        <v>8497</v>
      </c>
      <c r="U851" t="str">
        <f t="shared" si="31"/>
        <v/>
      </c>
    </row>
    <row r="852" spans="2:21" x14ac:dyDescent="0.25">
      <c r="B852">
        <v>8507</v>
      </c>
      <c r="U852" t="str">
        <f t="shared" si="31"/>
        <v/>
      </c>
    </row>
    <row r="853" spans="2:21" x14ac:dyDescent="0.25">
      <c r="B853">
        <v>8517</v>
      </c>
      <c r="U853" t="str">
        <f t="shared" si="31"/>
        <v/>
      </c>
    </row>
    <row r="854" spans="2:21" x14ac:dyDescent="0.25">
      <c r="B854">
        <v>8527</v>
      </c>
      <c r="U854" t="str">
        <f t="shared" si="31"/>
        <v/>
      </c>
    </row>
    <row r="855" spans="2:21" x14ac:dyDescent="0.25">
      <c r="B855">
        <v>8537</v>
      </c>
      <c r="U855" t="str">
        <f t="shared" si="31"/>
        <v/>
      </c>
    </row>
    <row r="856" spans="2:21" x14ac:dyDescent="0.25">
      <c r="B856">
        <v>8547</v>
      </c>
      <c r="U856" t="str">
        <f t="shared" si="31"/>
        <v/>
      </c>
    </row>
    <row r="857" spans="2:21" x14ac:dyDescent="0.25">
      <c r="B857">
        <v>8557</v>
      </c>
      <c r="U857" t="str">
        <f t="shared" si="31"/>
        <v/>
      </c>
    </row>
    <row r="858" spans="2:21" x14ac:dyDescent="0.25">
      <c r="B858">
        <v>8567</v>
      </c>
      <c r="U858" t="str">
        <f t="shared" si="31"/>
        <v/>
      </c>
    </row>
    <row r="859" spans="2:21" x14ac:dyDescent="0.25">
      <c r="B859">
        <v>8577</v>
      </c>
      <c r="U859" t="str">
        <f t="shared" si="31"/>
        <v/>
      </c>
    </row>
    <row r="860" spans="2:21" x14ac:dyDescent="0.25">
      <c r="B860">
        <v>8587</v>
      </c>
      <c r="U860" t="str">
        <f t="shared" si="31"/>
        <v/>
      </c>
    </row>
    <row r="861" spans="2:21" x14ac:dyDescent="0.25">
      <c r="B861">
        <v>8597</v>
      </c>
      <c r="U861" t="str">
        <f t="shared" si="31"/>
        <v/>
      </c>
    </row>
    <row r="862" spans="2:21" x14ac:dyDescent="0.25">
      <c r="B862">
        <v>8607</v>
      </c>
      <c r="U862" t="str">
        <f t="shared" si="31"/>
        <v/>
      </c>
    </row>
    <row r="863" spans="2:21" x14ac:dyDescent="0.25">
      <c r="B863">
        <v>8617</v>
      </c>
      <c r="U863" t="str">
        <f t="shared" si="31"/>
        <v/>
      </c>
    </row>
    <row r="864" spans="2:21" x14ac:dyDescent="0.25">
      <c r="B864">
        <v>8627</v>
      </c>
      <c r="U864" t="str">
        <f t="shared" si="31"/>
        <v/>
      </c>
    </row>
    <row r="865" spans="2:21" x14ac:dyDescent="0.25">
      <c r="B865">
        <v>8637</v>
      </c>
      <c r="U865" t="str">
        <f t="shared" si="31"/>
        <v/>
      </c>
    </row>
    <row r="866" spans="2:21" x14ac:dyDescent="0.25">
      <c r="B866">
        <v>8647</v>
      </c>
      <c r="U866" t="str">
        <f t="shared" si="31"/>
        <v/>
      </c>
    </row>
    <row r="867" spans="2:21" x14ac:dyDescent="0.25">
      <c r="B867">
        <v>8657</v>
      </c>
      <c r="U867" t="str">
        <f t="shared" si="31"/>
        <v/>
      </c>
    </row>
    <row r="868" spans="2:21" x14ac:dyDescent="0.25">
      <c r="B868">
        <v>8667</v>
      </c>
      <c r="U868" t="str">
        <f t="shared" si="31"/>
        <v/>
      </c>
    </row>
    <row r="869" spans="2:21" x14ac:dyDescent="0.25">
      <c r="B869">
        <v>8677</v>
      </c>
      <c r="U869" t="str">
        <f t="shared" si="31"/>
        <v/>
      </c>
    </row>
    <row r="870" spans="2:21" x14ac:dyDescent="0.25">
      <c r="B870">
        <v>8687</v>
      </c>
      <c r="U870" t="str">
        <f t="shared" si="31"/>
        <v/>
      </c>
    </row>
    <row r="871" spans="2:21" x14ac:dyDescent="0.25">
      <c r="B871">
        <v>8697</v>
      </c>
      <c r="U871" t="str">
        <f t="shared" si="31"/>
        <v/>
      </c>
    </row>
    <row r="872" spans="2:21" x14ac:dyDescent="0.25">
      <c r="B872">
        <v>8707</v>
      </c>
      <c r="U872" t="str">
        <f t="shared" si="31"/>
        <v/>
      </c>
    </row>
    <row r="873" spans="2:21" x14ac:dyDescent="0.25">
      <c r="B873">
        <v>8717</v>
      </c>
      <c r="U873" t="str">
        <f t="shared" si="31"/>
        <v/>
      </c>
    </row>
    <row r="874" spans="2:21" x14ac:dyDescent="0.25">
      <c r="B874">
        <v>8727</v>
      </c>
      <c r="U874" t="str">
        <f t="shared" si="31"/>
        <v/>
      </c>
    </row>
    <row r="875" spans="2:21" x14ac:dyDescent="0.25">
      <c r="B875">
        <v>8737</v>
      </c>
      <c r="U875" t="str">
        <f t="shared" si="31"/>
        <v/>
      </c>
    </row>
    <row r="876" spans="2:21" x14ac:dyDescent="0.25">
      <c r="B876">
        <v>8747</v>
      </c>
      <c r="U876" t="str">
        <f t="shared" si="31"/>
        <v/>
      </c>
    </row>
    <row r="877" spans="2:21" x14ac:dyDescent="0.25">
      <c r="B877">
        <v>8757</v>
      </c>
      <c r="U877" t="str">
        <f t="shared" si="31"/>
        <v/>
      </c>
    </row>
    <row r="878" spans="2:21" x14ac:dyDescent="0.25">
      <c r="B878">
        <v>8767</v>
      </c>
      <c r="U878" t="str">
        <f t="shared" si="31"/>
        <v/>
      </c>
    </row>
    <row r="879" spans="2:21" x14ac:dyDescent="0.25">
      <c r="B879">
        <v>8777</v>
      </c>
      <c r="U879" t="str">
        <f t="shared" si="31"/>
        <v/>
      </c>
    </row>
    <row r="880" spans="2:21" x14ac:dyDescent="0.25">
      <c r="B880">
        <v>8787</v>
      </c>
      <c r="U880" t="str">
        <f t="shared" si="31"/>
        <v/>
      </c>
    </row>
    <row r="881" spans="2:21" x14ac:dyDescent="0.25">
      <c r="B881">
        <v>8797</v>
      </c>
      <c r="U881" t="str">
        <f t="shared" si="31"/>
        <v/>
      </c>
    </row>
    <row r="882" spans="2:21" x14ac:dyDescent="0.25">
      <c r="B882">
        <v>8807</v>
      </c>
      <c r="U882" t="str">
        <f t="shared" si="31"/>
        <v/>
      </c>
    </row>
    <row r="883" spans="2:21" x14ac:dyDescent="0.25">
      <c r="B883">
        <v>8817</v>
      </c>
      <c r="U883" t="str">
        <f t="shared" si="31"/>
        <v/>
      </c>
    </row>
    <row r="884" spans="2:21" x14ac:dyDescent="0.25">
      <c r="B884">
        <v>8827</v>
      </c>
      <c r="U884" t="str">
        <f t="shared" si="31"/>
        <v/>
      </c>
    </row>
    <row r="885" spans="2:21" x14ac:dyDescent="0.25">
      <c r="B885">
        <v>8837</v>
      </c>
      <c r="U885" t="str">
        <f t="shared" si="31"/>
        <v/>
      </c>
    </row>
    <row r="886" spans="2:21" x14ac:dyDescent="0.25">
      <c r="B886">
        <v>8847</v>
      </c>
      <c r="U886" t="str">
        <f t="shared" si="31"/>
        <v/>
      </c>
    </row>
    <row r="887" spans="2:21" x14ac:dyDescent="0.25">
      <c r="B887">
        <v>8857</v>
      </c>
      <c r="U887" t="str">
        <f t="shared" si="31"/>
        <v/>
      </c>
    </row>
    <row r="888" spans="2:21" x14ac:dyDescent="0.25">
      <c r="B888">
        <v>8867</v>
      </c>
      <c r="U888" t="str">
        <f t="shared" si="31"/>
        <v/>
      </c>
    </row>
    <row r="889" spans="2:21" x14ac:dyDescent="0.25">
      <c r="B889">
        <v>8877</v>
      </c>
      <c r="U889" t="str">
        <f t="shared" si="31"/>
        <v/>
      </c>
    </row>
    <row r="890" spans="2:21" x14ac:dyDescent="0.25">
      <c r="B890">
        <v>8887</v>
      </c>
      <c r="U890" t="str">
        <f t="shared" si="31"/>
        <v/>
      </c>
    </row>
    <row r="891" spans="2:21" x14ac:dyDescent="0.25">
      <c r="B891">
        <v>8897</v>
      </c>
      <c r="U891" t="str">
        <f t="shared" si="31"/>
        <v/>
      </c>
    </row>
    <row r="892" spans="2:21" x14ac:dyDescent="0.25">
      <c r="B892">
        <v>8907</v>
      </c>
      <c r="U892" t="str">
        <f t="shared" si="31"/>
        <v/>
      </c>
    </row>
    <row r="893" spans="2:21" x14ac:dyDescent="0.25">
      <c r="B893">
        <v>8917</v>
      </c>
      <c r="U893" t="str">
        <f t="shared" si="31"/>
        <v/>
      </c>
    </row>
    <row r="894" spans="2:21" x14ac:dyDescent="0.25">
      <c r="B894">
        <v>8927</v>
      </c>
      <c r="U894" t="str">
        <f t="shared" si="31"/>
        <v/>
      </c>
    </row>
    <row r="895" spans="2:21" x14ac:dyDescent="0.25">
      <c r="B895">
        <v>8937</v>
      </c>
      <c r="U895" t="str">
        <f t="shared" si="31"/>
        <v/>
      </c>
    </row>
    <row r="896" spans="2:21" x14ac:dyDescent="0.25">
      <c r="B896">
        <v>8947</v>
      </c>
      <c r="U896" t="str">
        <f t="shared" si="31"/>
        <v/>
      </c>
    </row>
    <row r="897" spans="2:21" x14ac:dyDescent="0.25">
      <c r="B897">
        <v>8957</v>
      </c>
      <c r="U897" t="str">
        <f t="shared" si="31"/>
        <v/>
      </c>
    </row>
    <row r="898" spans="2:21" x14ac:dyDescent="0.25">
      <c r="B898">
        <v>8967</v>
      </c>
      <c r="U898" t="str">
        <f t="shared" si="31"/>
        <v/>
      </c>
    </row>
    <row r="899" spans="2:21" x14ac:dyDescent="0.25">
      <c r="B899">
        <v>8977</v>
      </c>
      <c r="U899" t="str">
        <f t="shared" si="31"/>
        <v/>
      </c>
    </row>
    <row r="900" spans="2:21" x14ac:dyDescent="0.25">
      <c r="B900">
        <v>8987</v>
      </c>
      <c r="U900" t="str">
        <f t="shared" si="31"/>
        <v/>
      </c>
    </row>
    <row r="901" spans="2:21" x14ac:dyDescent="0.25">
      <c r="B901">
        <v>8997</v>
      </c>
      <c r="U901" t="str">
        <f t="shared" si="31"/>
        <v/>
      </c>
    </row>
    <row r="902" spans="2:21" x14ac:dyDescent="0.25">
      <c r="B902">
        <v>9007</v>
      </c>
      <c r="U902" t="str">
        <f t="shared" si="31"/>
        <v/>
      </c>
    </row>
    <row r="903" spans="2:21" x14ac:dyDescent="0.25">
      <c r="B903">
        <v>9017</v>
      </c>
      <c r="U903" t="str">
        <f t="shared" si="31"/>
        <v/>
      </c>
    </row>
    <row r="904" spans="2:21" x14ac:dyDescent="0.25">
      <c r="B904">
        <v>9027</v>
      </c>
      <c r="U904" t="str">
        <f t="shared" si="31"/>
        <v/>
      </c>
    </row>
    <row r="905" spans="2:21" x14ac:dyDescent="0.25">
      <c r="B905">
        <v>9037</v>
      </c>
      <c r="U905" t="str">
        <f t="shared" si="31"/>
        <v/>
      </c>
    </row>
    <row r="906" spans="2:21" x14ac:dyDescent="0.25">
      <c r="B906">
        <v>9047</v>
      </c>
      <c r="U906" t="str">
        <f t="shared" si="31"/>
        <v/>
      </c>
    </row>
    <row r="907" spans="2:21" x14ac:dyDescent="0.25">
      <c r="B907">
        <v>9057</v>
      </c>
      <c r="U907" t="str">
        <f t="shared" si="31"/>
        <v/>
      </c>
    </row>
    <row r="908" spans="2:21" x14ac:dyDescent="0.25">
      <c r="B908">
        <v>9067</v>
      </c>
      <c r="U908" t="str">
        <f t="shared" si="31"/>
        <v/>
      </c>
    </row>
    <row r="909" spans="2:21" x14ac:dyDescent="0.25">
      <c r="B909">
        <v>9077</v>
      </c>
      <c r="U909" t="str">
        <f t="shared" ref="U909:U972" si="32">IF(SUM(P909:S909)=0,"",IF(S909/SUM(P909:S909)&gt;=0.5,"Battle Royale",IF(R909/SUM(P909:R909)&gt;=0.6,"Infantry-Heavy",IF((P909+0.7*Q909)/SUM(P909:R909)&gt;=0.7,"Vehicle-Heavy","Mixed"))))</f>
        <v/>
      </c>
    </row>
    <row r="910" spans="2:21" x14ac:dyDescent="0.25">
      <c r="B910">
        <v>9087</v>
      </c>
      <c r="U910" t="str">
        <f t="shared" si="32"/>
        <v/>
      </c>
    </row>
    <row r="911" spans="2:21" x14ac:dyDescent="0.25">
      <c r="B911">
        <v>9097</v>
      </c>
      <c r="U911" t="str">
        <f t="shared" si="32"/>
        <v/>
      </c>
    </row>
    <row r="912" spans="2:21" x14ac:dyDescent="0.25">
      <c r="B912">
        <v>9107</v>
      </c>
      <c r="U912" t="str">
        <f t="shared" si="32"/>
        <v/>
      </c>
    </row>
    <row r="913" spans="2:21" x14ac:dyDescent="0.25">
      <c r="B913">
        <v>9117</v>
      </c>
      <c r="U913" t="str">
        <f t="shared" si="32"/>
        <v/>
      </c>
    </row>
    <row r="914" spans="2:21" x14ac:dyDescent="0.25">
      <c r="B914">
        <v>9127</v>
      </c>
      <c r="U914" t="str">
        <f t="shared" si="32"/>
        <v/>
      </c>
    </row>
    <row r="915" spans="2:21" x14ac:dyDescent="0.25">
      <c r="B915">
        <v>9137</v>
      </c>
      <c r="U915" t="str">
        <f t="shared" si="32"/>
        <v/>
      </c>
    </row>
    <row r="916" spans="2:21" x14ac:dyDescent="0.25">
      <c r="B916">
        <v>9147</v>
      </c>
      <c r="U916" t="str">
        <f t="shared" si="32"/>
        <v/>
      </c>
    </row>
    <row r="917" spans="2:21" x14ac:dyDescent="0.25">
      <c r="B917">
        <v>9157</v>
      </c>
      <c r="U917" t="str">
        <f t="shared" si="32"/>
        <v/>
      </c>
    </row>
    <row r="918" spans="2:21" x14ac:dyDescent="0.25">
      <c r="B918">
        <v>9167</v>
      </c>
      <c r="U918" t="str">
        <f t="shared" si="32"/>
        <v/>
      </c>
    </row>
    <row r="919" spans="2:21" x14ac:dyDescent="0.25">
      <c r="B919">
        <v>9177</v>
      </c>
      <c r="U919" t="str">
        <f t="shared" si="32"/>
        <v/>
      </c>
    </row>
    <row r="920" spans="2:21" x14ac:dyDescent="0.25">
      <c r="B920">
        <v>9187</v>
      </c>
      <c r="U920" t="str">
        <f t="shared" si="32"/>
        <v/>
      </c>
    </row>
    <row r="921" spans="2:21" x14ac:dyDescent="0.25">
      <c r="B921">
        <v>9197</v>
      </c>
      <c r="U921" t="str">
        <f t="shared" si="32"/>
        <v/>
      </c>
    </row>
    <row r="922" spans="2:21" x14ac:dyDescent="0.25">
      <c r="B922">
        <v>9207</v>
      </c>
      <c r="U922" t="str">
        <f t="shared" si="32"/>
        <v/>
      </c>
    </row>
    <row r="923" spans="2:21" x14ac:dyDescent="0.25">
      <c r="B923">
        <v>9217</v>
      </c>
      <c r="U923" t="str">
        <f t="shared" si="32"/>
        <v/>
      </c>
    </row>
    <row r="924" spans="2:21" x14ac:dyDescent="0.25">
      <c r="B924">
        <v>9227</v>
      </c>
      <c r="U924" t="str">
        <f t="shared" si="32"/>
        <v/>
      </c>
    </row>
    <row r="925" spans="2:21" x14ac:dyDescent="0.25">
      <c r="B925">
        <v>9237</v>
      </c>
      <c r="U925" t="str">
        <f t="shared" si="32"/>
        <v/>
      </c>
    </row>
    <row r="926" spans="2:21" x14ac:dyDescent="0.25">
      <c r="B926">
        <v>9247</v>
      </c>
      <c r="U926" t="str">
        <f t="shared" si="32"/>
        <v/>
      </c>
    </row>
    <row r="927" spans="2:21" x14ac:dyDescent="0.25">
      <c r="B927">
        <v>9257</v>
      </c>
      <c r="U927" t="str">
        <f t="shared" si="32"/>
        <v/>
      </c>
    </row>
    <row r="928" spans="2:21" x14ac:dyDescent="0.25">
      <c r="B928">
        <v>9267</v>
      </c>
      <c r="U928" t="str">
        <f t="shared" si="32"/>
        <v/>
      </c>
    </row>
    <row r="929" spans="2:21" x14ac:dyDescent="0.25">
      <c r="B929">
        <v>9277</v>
      </c>
      <c r="U929" t="str">
        <f t="shared" si="32"/>
        <v/>
      </c>
    </row>
    <row r="930" spans="2:21" x14ac:dyDescent="0.25">
      <c r="B930">
        <v>9287</v>
      </c>
      <c r="U930" t="str">
        <f t="shared" si="32"/>
        <v/>
      </c>
    </row>
    <row r="931" spans="2:21" x14ac:dyDescent="0.25">
      <c r="B931">
        <v>9297</v>
      </c>
      <c r="U931" t="str">
        <f t="shared" si="32"/>
        <v/>
      </c>
    </row>
    <row r="932" spans="2:21" x14ac:dyDescent="0.25">
      <c r="B932">
        <v>9307</v>
      </c>
      <c r="U932" t="str">
        <f t="shared" si="32"/>
        <v/>
      </c>
    </row>
    <row r="933" spans="2:21" x14ac:dyDescent="0.25">
      <c r="B933">
        <v>9317</v>
      </c>
      <c r="U933" t="str">
        <f t="shared" si="32"/>
        <v/>
      </c>
    </row>
    <row r="934" spans="2:21" x14ac:dyDescent="0.25">
      <c r="B934">
        <v>9327</v>
      </c>
      <c r="U934" t="str">
        <f t="shared" si="32"/>
        <v/>
      </c>
    </row>
    <row r="935" spans="2:21" x14ac:dyDescent="0.25">
      <c r="B935">
        <v>9337</v>
      </c>
      <c r="U935" t="str">
        <f t="shared" si="32"/>
        <v/>
      </c>
    </row>
    <row r="936" spans="2:21" x14ac:dyDescent="0.25">
      <c r="B936">
        <v>9347</v>
      </c>
      <c r="U936" t="str">
        <f t="shared" si="32"/>
        <v/>
      </c>
    </row>
    <row r="937" spans="2:21" x14ac:dyDescent="0.25">
      <c r="B937">
        <v>9357</v>
      </c>
      <c r="U937" t="str">
        <f t="shared" si="32"/>
        <v/>
      </c>
    </row>
    <row r="938" spans="2:21" x14ac:dyDescent="0.25">
      <c r="B938">
        <v>9367</v>
      </c>
      <c r="U938" t="str">
        <f t="shared" si="32"/>
        <v/>
      </c>
    </row>
    <row r="939" spans="2:21" x14ac:dyDescent="0.25">
      <c r="B939">
        <v>9377</v>
      </c>
      <c r="U939" t="str">
        <f t="shared" si="32"/>
        <v/>
      </c>
    </row>
    <row r="940" spans="2:21" x14ac:dyDescent="0.25">
      <c r="B940">
        <v>9387</v>
      </c>
      <c r="U940" t="str">
        <f t="shared" si="32"/>
        <v/>
      </c>
    </row>
    <row r="941" spans="2:21" x14ac:dyDescent="0.25">
      <c r="B941">
        <v>9397</v>
      </c>
      <c r="U941" t="str">
        <f t="shared" si="32"/>
        <v/>
      </c>
    </row>
    <row r="942" spans="2:21" x14ac:dyDescent="0.25">
      <c r="B942">
        <v>9407</v>
      </c>
      <c r="U942" t="str">
        <f t="shared" si="32"/>
        <v/>
      </c>
    </row>
    <row r="943" spans="2:21" x14ac:dyDescent="0.25">
      <c r="B943">
        <v>9417</v>
      </c>
      <c r="U943" t="str">
        <f t="shared" si="32"/>
        <v/>
      </c>
    </row>
    <row r="944" spans="2:21" x14ac:dyDescent="0.25">
      <c r="B944">
        <v>9427</v>
      </c>
      <c r="U944" t="str">
        <f t="shared" si="32"/>
        <v/>
      </c>
    </row>
    <row r="945" spans="2:21" x14ac:dyDescent="0.25">
      <c r="B945">
        <v>9437</v>
      </c>
      <c r="U945" t="str">
        <f t="shared" si="32"/>
        <v/>
      </c>
    </row>
    <row r="946" spans="2:21" x14ac:dyDescent="0.25">
      <c r="B946">
        <v>9447</v>
      </c>
      <c r="U946" t="str">
        <f t="shared" si="32"/>
        <v/>
      </c>
    </row>
    <row r="947" spans="2:21" x14ac:dyDescent="0.25">
      <c r="B947">
        <v>9457</v>
      </c>
      <c r="U947" t="str">
        <f t="shared" si="32"/>
        <v/>
      </c>
    </row>
    <row r="948" spans="2:21" x14ac:dyDescent="0.25">
      <c r="B948">
        <v>9467</v>
      </c>
      <c r="U948" t="str">
        <f t="shared" si="32"/>
        <v/>
      </c>
    </row>
    <row r="949" spans="2:21" x14ac:dyDescent="0.25">
      <c r="B949">
        <v>9477</v>
      </c>
      <c r="U949" t="str">
        <f t="shared" si="32"/>
        <v/>
      </c>
    </row>
    <row r="950" spans="2:21" x14ac:dyDescent="0.25">
      <c r="B950">
        <v>9487</v>
      </c>
      <c r="U950" t="str">
        <f t="shared" si="32"/>
        <v/>
      </c>
    </row>
    <row r="951" spans="2:21" x14ac:dyDescent="0.25">
      <c r="B951">
        <v>9497</v>
      </c>
      <c r="U951" t="str">
        <f t="shared" si="32"/>
        <v/>
      </c>
    </row>
    <row r="952" spans="2:21" x14ac:dyDescent="0.25">
      <c r="B952">
        <v>9507</v>
      </c>
      <c r="U952" t="str">
        <f t="shared" si="32"/>
        <v/>
      </c>
    </row>
    <row r="953" spans="2:21" x14ac:dyDescent="0.25">
      <c r="B953">
        <v>9517</v>
      </c>
      <c r="U953" t="str">
        <f t="shared" si="32"/>
        <v/>
      </c>
    </row>
    <row r="954" spans="2:21" x14ac:dyDescent="0.25">
      <c r="B954">
        <v>9527</v>
      </c>
      <c r="U954" t="str">
        <f t="shared" si="32"/>
        <v/>
      </c>
    </row>
    <row r="955" spans="2:21" x14ac:dyDescent="0.25">
      <c r="B955">
        <v>9537</v>
      </c>
      <c r="U955" t="str">
        <f t="shared" si="32"/>
        <v/>
      </c>
    </row>
    <row r="956" spans="2:21" x14ac:dyDescent="0.25">
      <c r="B956">
        <v>9547</v>
      </c>
      <c r="U956" t="str">
        <f t="shared" si="32"/>
        <v/>
      </c>
    </row>
    <row r="957" spans="2:21" x14ac:dyDescent="0.25">
      <c r="B957">
        <v>9557</v>
      </c>
      <c r="U957" t="str">
        <f t="shared" si="32"/>
        <v/>
      </c>
    </row>
    <row r="958" spans="2:21" x14ac:dyDescent="0.25">
      <c r="B958">
        <v>9567</v>
      </c>
      <c r="U958" t="str">
        <f t="shared" si="32"/>
        <v/>
      </c>
    </row>
    <row r="959" spans="2:21" x14ac:dyDescent="0.25">
      <c r="B959">
        <v>9577</v>
      </c>
      <c r="U959" t="str">
        <f t="shared" si="32"/>
        <v/>
      </c>
    </row>
    <row r="960" spans="2:21" x14ac:dyDescent="0.25">
      <c r="B960">
        <v>9587</v>
      </c>
      <c r="U960" t="str">
        <f t="shared" si="32"/>
        <v/>
      </c>
    </row>
    <row r="961" spans="2:21" x14ac:dyDescent="0.25">
      <c r="B961">
        <v>9597</v>
      </c>
      <c r="U961" t="str">
        <f t="shared" si="32"/>
        <v/>
      </c>
    </row>
    <row r="962" spans="2:21" x14ac:dyDescent="0.25">
      <c r="B962">
        <v>9607</v>
      </c>
      <c r="U962" t="str">
        <f t="shared" si="32"/>
        <v/>
      </c>
    </row>
    <row r="963" spans="2:21" x14ac:dyDescent="0.25">
      <c r="B963">
        <v>9617</v>
      </c>
      <c r="U963" t="str">
        <f t="shared" si="32"/>
        <v/>
      </c>
    </row>
    <row r="964" spans="2:21" x14ac:dyDescent="0.25">
      <c r="B964">
        <v>9627</v>
      </c>
      <c r="U964" t="str">
        <f t="shared" si="32"/>
        <v/>
      </c>
    </row>
    <row r="965" spans="2:21" x14ac:dyDescent="0.25">
      <c r="B965">
        <v>9637</v>
      </c>
      <c r="U965" t="str">
        <f t="shared" si="32"/>
        <v/>
      </c>
    </row>
    <row r="966" spans="2:21" x14ac:dyDescent="0.25">
      <c r="B966">
        <v>9647</v>
      </c>
      <c r="U966" t="str">
        <f t="shared" si="32"/>
        <v/>
      </c>
    </row>
    <row r="967" spans="2:21" x14ac:dyDescent="0.25">
      <c r="B967">
        <v>9657</v>
      </c>
      <c r="U967" t="str">
        <f t="shared" si="32"/>
        <v/>
      </c>
    </row>
    <row r="968" spans="2:21" x14ac:dyDescent="0.25">
      <c r="B968">
        <v>9667</v>
      </c>
      <c r="U968" t="str">
        <f t="shared" si="32"/>
        <v/>
      </c>
    </row>
    <row r="969" spans="2:21" x14ac:dyDescent="0.25">
      <c r="B969">
        <v>9677</v>
      </c>
      <c r="U969" t="str">
        <f t="shared" si="32"/>
        <v/>
      </c>
    </row>
    <row r="970" spans="2:21" x14ac:dyDescent="0.25">
      <c r="B970">
        <v>9687</v>
      </c>
      <c r="U970" t="str">
        <f t="shared" si="32"/>
        <v/>
      </c>
    </row>
    <row r="971" spans="2:21" x14ac:dyDescent="0.25">
      <c r="B971">
        <v>9697</v>
      </c>
      <c r="U971" t="str">
        <f t="shared" si="32"/>
        <v/>
      </c>
    </row>
    <row r="972" spans="2:21" x14ac:dyDescent="0.25">
      <c r="B972">
        <v>9707</v>
      </c>
      <c r="U972" t="str">
        <f t="shared" si="32"/>
        <v/>
      </c>
    </row>
    <row r="973" spans="2:21" x14ac:dyDescent="0.25">
      <c r="B973">
        <v>9717</v>
      </c>
      <c r="U973" t="str">
        <f t="shared" ref="U973:U1000" si="33">IF(SUM(P973:S973)=0,"",IF(S973/SUM(P973:S973)&gt;=0.5,"Battle Royale",IF(R973/SUM(P973:R973)&gt;=0.6,"Infantry-Heavy",IF((P973+0.7*Q973)/SUM(P973:R973)&gt;=0.7,"Vehicle-Heavy","Mixed"))))</f>
        <v/>
      </c>
    </row>
    <row r="974" spans="2:21" x14ac:dyDescent="0.25">
      <c r="B974">
        <v>9727</v>
      </c>
      <c r="U974" t="str">
        <f t="shared" si="33"/>
        <v/>
      </c>
    </row>
    <row r="975" spans="2:21" x14ac:dyDescent="0.25">
      <c r="B975">
        <v>9737</v>
      </c>
      <c r="U975" t="str">
        <f t="shared" si="33"/>
        <v/>
      </c>
    </row>
    <row r="976" spans="2:21" x14ac:dyDescent="0.25">
      <c r="B976">
        <v>9747</v>
      </c>
      <c r="U976" t="str">
        <f t="shared" si="33"/>
        <v/>
      </c>
    </row>
    <row r="977" spans="2:21" x14ac:dyDescent="0.25">
      <c r="B977">
        <v>9757</v>
      </c>
      <c r="U977" t="str">
        <f t="shared" si="33"/>
        <v/>
      </c>
    </row>
    <row r="978" spans="2:21" x14ac:dyDescent="0.25">
      <c r="B978">
        <v>9767</v>
      </c>
      <c r="U978" t="str">
        <f t="shared" si="33"/>
        <v/>
      </c>
    </row>
    <row r="979" spans="2:21" x14ac:dyDescent="0.25">
      <c r="B979">
        <v>9777</v>
      </c>
      <c r="U979" t="str">
        <f t="shared" si="33"/>
        <v/>
      </c>
    </row>
    <row r="980" spans="2:21" x14ac:dyDescent="0.25">
      <c r="B980">
        <v>9787</v>
      </c>
      <c r="U980" t="str">
        <f t="shared" si="33"/>
        <v/>
      </c>
    </row>
    <row r="981" spans="2:21" x14ac:dyDescent="0.25">
      <c r="B981">
        <v>9797</v>
      </c>
      <c r="U981" t="str">
        <f t="shared" si="33"/>
        <v/>
      </c>
    </row>
    <row r="982" spans="2:21" x14ac:dyDescent="0.25">
      <c r="B982">
        <v>9807</v>
      </c>
      <c r="U982" t="str">
        <f t="shared" si="33"/>
        <v/>
      </c>
    </row>
    <row r="983" spans="2:21" x14ac:dyDescent="0.25">
      <c r="B983">
        <v>9817</v>
      </c>
      <c r="U983" t="str">
        <f t="shared" si="33"/>
        <v/>
      </c>
    </row>
    <row r="984" spans="2:21" x14ac:dyDescent="0.25">
      <c r="B984">
        <v>9827</v>
      </c>
      <c r="U984" t="str">
        <f t="shared" si="33"/>
        <v/>
      </c>
    </row>
    <row r="985" spans="2:21" x14ac:dyDescent="0.25">
      <c r="B985">
        <v>9837</v>
      </c>
      <c r="U985" t="str">
        <f t="shared" si="33"/>
        <v/>
      </c>
    </row>
    <row r="986" spans="2:21" x14ac:dyDescent="0.25">
      <c r="B986">
        <v>9847</v>
      </c>
      <c r="U986" t="str">
        <f t="shared" si="33"/>
        <v/>
      </c>
    </row>
    <row r="987" spans="2:21" x14ac:dyDescent="0.25">
      <c r="B987">
        <v>9857</v>
      </c>
      <c r="U987" t="str">
        <f t="shared" si="33"/>
        <v/>
      </c>
    </row>
    <row r="988" spans="2:21" x14ac:dyDescent="0.25">
      <c r="B988">
        <v>9867</v>
      </c>
      <c r="U988" t="str">
        <f t="shared" si="33"/>
        <v/>
      </c>
    </row>
    <row r="989" spans="2:21" x14ac:dyDescent="0.25">
      <c r="B989">
        <v>9877</v>
      </c>
      <c r="U989" t="str">
        <f t="shared" si="33"/>
        <v/>
      </c>
    </row>
    <row r="990" spans="2:21" x14ac:dyDescent="0.25">
      <c r="B990">
        <v>9887</v>
      </c>
      <c r="U990" t="str">
        <f t="shared" si="33"/>
        <v/>
      </c>
    </row>
    <row r="991" spans="2:21" x14ac:dyDescent="0.25">
      <c r="B991">
        <v>9897</v>
      </c>
      <c r="U991" t="str">
        <f t="shared" si="33"/>
        <v/>
      </c>
    </row>
    <row r="992" spans="2:21" x14ac:dyDescent="0.25">
      <c r="B992">
        <v>9907</v>
      </c>
      <c r="U992" t="str">
        <f t="shared" si="33"/>
        <v/>
      </c>
    </row>
    <row r="993" spans="2:21" x14ac:dyDescent="0.25">
      <c r="B993">
        <v>9917</v>
      </c>
      <c r="U993" t="str">
        <f t="shared" si="33"/>
        <v/>
      </c>
    </row>
    <row r="994" spans="2:21" x14ac:dyDescent="0.25">
      <c r="B994">
        <v>9927</v>
      </c>
      <c r="U994" t="str">
        <f t="shared" si="33"/>
        <v/>
      </c>
    </row>
    <row r="995" spans="2:21" x14ac:dyDescent="0.25">
      <c r="B995">
        <v>9937</v>
      </c>
      <c r="U995" t="str">
        <f t="shared" si="33"/>
        <v/>
      </c>
    </row>
    <row r="996" spans="2:21" x14ac:dyDescent="0.25">
      <c r="B996">
        <v>9947</v>
      </c>
      <c r="U996" t="str">
        <f t="shared" si="33"/>
        <v/>
      </c>
    </row>
    <row r="997" spans="2:21" x14ac:dyDescent="0.25">
      <c r="B997">
        <v>9957</v>
      </c>
      <c r="U997" t="str">
        <f t="shared" si="33"/>
        <v/>
      </c>
    </row>
    <row r="998" spans="2:21" x14ac:dyDescent="0.25">
      <c r="B998">
        <v>9967</v>
      </c>
      <c r="U998" t="str">
        <f t="shared" si="33"/>
        <v/>
      </c>
    </row>
    <row r="999" spans="2:21" x14ac:dyDescent="0.25">
      <c r="B999">
        <v>9977</v>
      </c>
      <c r="U999" t="str">
        <f t="shared" si="33"/>
        <v/>
      </c>
    </row>
    <row r="1000" spans="2:21" x14ac:dyDescent="0.25">
      <c r="B1000">
        <v>9987</v>
      </c>
      <c r="U1000" t="str">
        <f t="shared" si="33"/>
        <v/>
      </c>
    </row>
    <row r="1001" spans="2:21" x14ac:dyDescent="0.25">
      <c r="B1001">
        <v>9997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45A7-8110-47A9-911A-DDA1A8D5CEDF}">
  <dimension ref="A1:M1001"/>
  <sheetViews>
    <sheetView workbookViewId="0">
      <selection activeCell="J5" sqref="J5"/>
    </sheetView>
  </sheetViews>
  <sheetFormatPr defaultColWidth="19" defaultRowHeight="15" x14ac:dyDescent="0.25"/>
  <cols>
    <col min="3" max="3" width="19" style="9"/>
    <col min="7" max="7" width="19" style="9"/>
    <col min="11" max="11" width="19" style="9"/>
  </cols>
  <sheetData>
    <row r="1" spans="1:13" ht="15.75" thickBot="1" x14ac:dyDescent="0.3">
      <c r="A1" s="1" t="s">
        <v>0</v>
      </c>
      <c r="B1" s="1" t="s">
        <v>1</v>
      </c>
      <c r="C1" s="4" t="s">
        <v>52</v>
      </c>
      <c r="D1" s="1" t="s">
        <v>53</v>
      </c>
      <c r="E1" s="1" t="s">
        <v>54</v>
      </c>
      <c r="F1" s="1" t="s">
        <v>55</v>
      </c>
      <c r="G1" s="4" t="s">
        <v>58</v>
      </c>
      <c r="H1" s="1" t="s">
        <v>57</v>
      </c>
      <c r="I1" s="1" t="s">
        <v>56</v>
      </c>
      <c r="J1" s="1" t="s">
        <v>59</v>
      </c>
      <c r="K1" s="4"/>
      <c r="L1" s="1"/>
      <c r="M1" s="1"/>
    </row>
    <row r="2" spans="1:13" x14ac:dyDescent="0.25">
      <c r="A2" t="str">
        <f>Player_Mode_Profile!A2</f>
        <v>Stann83cz</v>
      </c>
      <c r="B2" cm="1">
        <f t="array" ref="B2:B1001">_xlfn.SEQUENCE(1000,1,7,10)</f>
        <v>7</v>
      </c>
      <c r="C2" s="13">
        <f>Player_Class_Profile!D2/Player_Class_Profile!H2</f>
        <v>0.53016453382084094</v>
      </c>
      <c r="D2" s="10">
        <f>Player_Class_Profile!E2/Player_Class_Profile!H2</f>
        <v>7.6782449725776969E-2</v>
      </c>
      <c r="E2" s="10">
        <f>Player_Class_Profile!F2/Player_Class_Profile!H2</f>
        <v>0.27422303473491771</v>
      </c>
      <c r="F2" s="10">
        <f>Player_Class_Profile!G2/Player_Class_Profile!H2</f>
        <v>0.11882998171846434</v>
      </c>
      <c r="G2" s="13">
        <f>(_xlfn.XLOOKUP($A2,Player_Mode_Profile!$A:$A,Player_Mode_Profile!P:P)/(_xlfn.XLOOKUP($A2,Player_Mode_Profile!$A:$A,Player_Mode_Profile!$T:$T)))</f>
        <v>0.33633633633633636</v>
      </c>
      <c r="H2" s="14">
        <f>(_xlfn.XLOOKUP($A2,Player_Mode_Profile!$A:$A,Player_Mode_Profile!Q:Q)/(_xlfn.XLOOKUP($A2,Player_Mode_Profile!$A:$A,Player_Mode_Profile!$T:$T)))</f>
        <v>0.15840840840840842</v>
      </c>
      <c r="I2" s="14">
        <f>(_xlfn.XLOOKUP($A2,Player_Mode_Profile!$A:$A,Player_Mode_Profile!R:R)/(_xlfn.XLOOKUP($A2,Player_Mode_Profile!$A:$A,Player_Mode_Profile!$T:$T)))</f>
        <v>0.48873873873873874</v>
      </c>
      <c r="J2" s="14">
        <f>(_xlfn.XLOOKUP($A2,Player_Mode_Profile!$A:$A,Player_Mode_Profile!S:S)/(_xlfn.XLOOKUP($A2,Player_Mode_Profile!$A:$A,Player_Mode_Profile!$T:$T)))</f>
        <v>1.6516516516516516E-2</v>
      </c>
    </row>
    <row r="3" spans="1:13" x14ac:dyDescent="0.25">
      <c r="A3" t="str">
        <f>Player_Mode_Profile!A3</f>
        <v>Sir Jekyll</v>
      </c>
      <c r="B3">
        <v>17</v>
      </c>
      <c r="C3" s="13">
        <f>Player_Class_Profile!D3/Player_Class_Profile!H3</f>
        <v>0.29931972789115646</v>
      </c>
      <c r="D3" s="10">
        <f>Player_Class_Profile!E3/Player_Class_Profile!H3</f>
        <v>0.36734693877551022</v>
      </c>
      <c r="E3" s="10">
        <f>Player_Class_Profile!F3/Player_Class_Profile!H3</f>
        <v>0.11224489795918367</v>
      </c>
      <c r="F3" s="10">
        <f>Player_Class_Profile!G3/Player_Class_Profile!H3</f>
        <v>0.22108843537414966</v>
      </c>
      <c r="G3" s="13">
        <f>(_xlfn.XLOOKUP($A3,Player_Mode_Profile!$A:$A,Player_Mode_Profile!P:P)/(_xlfn.XLOOKUP($A3,Player_Mode_Profile!$A:$A,Player_Mode_Profile!$T:$T)))</f>
        <v>0.51248164464023493</v>
      </c>
      <c r="H3" s="14">
        <f>(_xlfn.XLOOKUP($A3,Player_Mode_Profile!$A:$A,Player_Mode_Profile!Q:Q)/(_xlfn.XLOOKUP($A3,Player_Mode_Profile!$A:$A,Player_Mode_Profile!$T:$T)))</f>
        <v>0.15638766519823788</v>
      </c>
      <c r="I3" s="14">
        <f>(_xlfn.XLOOKUP($A3,Player_Mode_Profile!$A:$A,Player_Mode_Profile!R:R)/(_xlfn.XLOOKUP($A3,Player_Mode_Profile!$A:$A,Player_Mode_Profile!$T:$T)))</f>
        <v>0.14904552129221732</v>
      </c>
      <c r="J3" s="14">
        <f>(_xlfn.XLOOKUP($A3,Player_Mode_Profile!$A:$A,Player_Mode_Profile!S:S)/(_xlfn.XLOOKUP($A3,Player_Mode_Profile!$A:$A,Player_Mode_Profile!$T:$T)))</f>
        <v>0.18208516886930984</v>
      </c>
    </row>
    <row r="4" spans="1:13" x14ac:dyDescent="0.25">
      <c r="A4" t="str">
        <f>Player_Mode_Profile!A4</f>
        <v>elkikisk</v>
      </c>
      <c r="B4">
        <v>27</v>
      </c>
      <c r="C4" s="13">
        <f>Player_Class_Profile!D4/Player_Class_Profile!H4</f>
        <v>0.41475826972010177</v>
      </c>
      <c r="D4" s="10">
        <f>Player_Class_Profile!E4/Player_Class_Profile!H4</f>
        <v>0.24936386768447838</v>
      </c>
      <c r="E4" s="10">
        <f>Player_Class_Profile!F4/Player_Class_Profile!H4</f>
        <v>5.2162849872773538E-2</v>
      </c>
      <c r="F4" s="10">
        <f>Player_Class_Profile!G4/Player_Class_Profile!H4</f>
        <v>0.28371501272264632</v>
      </c>
      <c r="G4" s="13">
        <f>(_xlfn.XLOOKUP($A4,Player_Mode_Profile!$A:$A,Player_Mode_Profile!P:P)/(_xlfn.XLOOKUP($A4,Player_Mode_Profile!$A:$A,Player_Mode_Profile!$T:$T)))</f>
        <v>0.85453672587614016</v>
      </c>
      <c r="H4" s="14">
        <f>(_xlfn.XLOOKUP($A4,Player_Mode_Profile!$A:$A,Player_Mode_Profile!Q:Q)/(_xlfn.XLOOKUP($A4,Player_Mode_Profile!$A:$A,Player_Mode_Profile!$T:$T)))</f>
        <v>0.1301541579986131</v>
      </c>
      <c r="I4" s="14">
        <f>(_xlfn.XLOOKUP($A4,Player_Mode_Profile!$A:$A,Player_Mode_Profile!R:R)/(_xlfn.XLOOKUP($A4,Player_Mode_Profile!$A:$A,Player_Mode_Profile!$T:$T)))</f>
        <v>1.4935723049021176E-2</v>
      </c>
      <c r="J4" s="14">
        <f>(_xlfn.XLOOKUP($A4,Player_Mode_Profile!$A:$A,Player_Mode_Profile!S:S)/(_xlfn.XLOOKUP($A4,Player_Mode_Profile!$A:$A,Player_Mode_Profile!$T:$T)))</f>
        <v>3.7339307622552938E-4</v>
      </c>
    </row>
    <row r="5" spans="1:13" x14ac:dyDescent="0.25">
      <c r="A5" t="str">
        <f>Player_Mode_Profile!A5</f>
        <v>HSBxEWIKKED</v>
      </c>
      <c r="B5">
        <v>37</v>
      </c>
      <c r="C5" s="13">
        <f>Player_Class_Profile!D5/Player_Class_Profile!H5</f>
        <v>1.2738853503184713E-3</v>
      </c>
      <c r="D5" s="10">
        <f>Player_Class_Profile!E5/Player_Class_Profile!H5</f>
        <v>1.019108280254777E-2</v>
      </c>
      <c r="E5" s="10">
        <f>Player_Class_Profile!F5/Player_Class_Profile!H5</f>
        <v>0.13375796178343949</v>
      </c>
      <c r="F5" s="10">
        <f>Player_Class_Profile!G5/Player_Class_Profile!H5</f>
        <v>0.8547770700636943</v>
      </c>
      <c r="G5" s="13">
        <f>(_xlfn.XLOOKUP($A5,Player_Mode_Profile!$A:$A,Player_Mode_Profile!P:P)/(_xlfn.XLOOKUP($A5,Player_Mode_Profile!$A:$A,Player_Mode_Profile!$T:$T)))</f>
        <v>0.11025570525158097</v>
      </c>
      <c r="H5" s="14">
        <f>(_xlfn.XLOOKUP($A5,Player_Mode_Profile!$A:$A,Player_Mode_Profile!Q:Q)/(_xlfn.XLOOKUP($A5,Player_Mode_Profile!$A:$A,Player_Mode_Profile!$T:$T)))</f>
        <v>0.10228210063238934</v>
      </c>
      <c r="I5" s="14">
        <f>(_xlfn.XLOOKUP($A5,Player_Mode_Profile!$A:$A,Player_Mode_Profile!R:R)/(_xlfn.XLOOKUP($A5,Player_Mode_Profile!$A:$A,Player_Mode_Profile!$T:$T)))</f>
        <v>0.66098432774264504</v>
      </c>
      <c r="J5" s="14">
        <f>(_xlfn.XLOOKUP($A5,Player_Mode_Profile!$A:$A,Player_Mode_Profile!S:S)/(_xlfn.XLOOKUP($A5,Player_Mode_Profile!$A:$A,Player_Mode_Profile!$T:$T)))</f>
        <v>0.12647786637338465</v>
      </c>
    </row>
    <row r="6" spans="1:13" x14ac:dyDescent="0.25">
      <c r="A6" t="str">
        <f>Player_Mode_Profile!A6</f>
        <v>TheBishopDeath</v>
      </c>
      <c r="B6">
        <v>47</v>
      </c>
      <c r="C6" s="13">
        <f>Player_Class_Profile!D6/Player_Class_Profile!H6</f>
        <v>0.19626168224299065</v>
      </c>
      <c r="D6" s="10">
        <f>Player_Class_Profile!E6/Player_Class_Profile!H6</f>
        <v>0.7289719626168224</v>
      </c>
      <c r="E6" s="10">
        <f>Player_Class_Profile!F6/Player_Class_Profile!H6</f>
        <v>5.6074766355140183E-3</v>
      </c>
      <c r="F6" s="10">
        <f>Player_Class_Profile!G6/Player_Class_Profile!H6</f>
        <v>6.9158878504672894E-2</v>
      </c>
      <c r="G6" s="13">
        <f>(_xlfn.XLOOKUP($A6,Player_Mode_Profile!$A:$A,Player_Mode_Profile!P:P)/(_xlfn.XLOOKUP($A6,Player_Mode_Profile!$A:$A,Player_Mode_Profile!$T:$T)))</f>
        <v>0.80927835051546393</v>
      </c>
      <c r="H6" s="14">
        <f>(_xlfn.XLOOKUP($A6,Player_Mode_Profile!$A:$A,Player_Mode_Profile!Q:Q)/(_xlfn.XLOOKUP($A6,Player_Mode_Profile!$A:$A,Player_Mode_Profile!$T:$T)))</f>
        <v>0.12334315169366716</v>
      </c>
      <c r="I6" s="14">
        <f>(_xlfn.XLOOKUP($A6,Player_Mode_Profile!$A:$A,Player_Mode_Profile!R:R)/(_xlfn.XLOOKUP($A6,Player_Mode_Profile!$A:$A,Player_Mode_Profile!$T:$T)))</f>
        <v>6.1855670103092786E-2</v>
      </c>
      <c r="J6" s="14">
        <f>(_xlfn.XLOOKUP($A6,Player_Mode_Profile!$A:$A,Player_Mode_Profile!S:S)/(_xlfn.XLOOKUP($A6,Player_Mode_Profile!$A:$A,Player_Mode_Profile!$T:$T)))</f>
        <v>5.5228276877761417E-3</v>
      </c>
    </row>
    <row r="7" spans="1:13" x14ac:dyDescent="0.25">
      <c r="A7" t="str">
        <f>Player_Mode_Profile!A7</f>
        <v>AncientWizardGuy</v>
      </c>
      <c r="B7">
        <v>57</v>
      </c>
      <c r="C7" s="13">
        <f>Player_Class_Profile!D7/Player_Class_Profile!H7</f>
        <v>0.17420435510887772</v>
      </c>
      <c r="D7" s="10">
        <f>Player_Class_Profile!E7/Player_Class_Profile!H7</f>
        <v>0.2613065326633166</v>
      </c>
      <c r="E7" s="10">
        <f>Player_Class_Profile!F7/Player_Class_Profile!H7</f>
        <v>0.21105527638190955</v>
      </c>
      <c r="F7" s="10">
        <f>Player_Class_Profile!G7/Player_Class_Profile!H7</f>
        <v>0.35343383584589616</v>
      </c>
      <c r="G7" s="13">
        <f>(_xlfn.XLOOKUP($A7,Player_Mode_Profile!$A:$A,Player_Mode_Profile!P:P)/(_xlfn.XLOOKUP($A7,Player_Mode_Profile!$A:$A,Player_Mode_Profile!$T:$T)))</f>
        <v>0.65384615384615385</v>
      </c>
      <c r="H7" s="14">
        <f>(_xlfn.XLOOKUP($A7,Player_Mode_Profile!$A:$A,Player_Mode_Profile!Q:Q)/(_xlfn.XLOOKUP($A7,Player_Mode_Profile!$A:$A,Player_Mode_Profile!$T:$T)))</f>
        <v>0.34340659340659341</v>
      </c>
      <c r="I7" s="14">
        <f>(_xlfn.XLOOKUP($A7,Player_Mode_Profile!$A:$A,Player_Mode_Profile!R:R)/(_xlfn.XLOOKUP($A7,Player_Mode_Profile!$A:$A,Player_Mode_Profile!$T:$T)))</f>
        <v>2.7472527472527475E-3</v>
      </c>
      <c r="J7" s="14">
        <f>(_xlfn.XLOOKUP($A7,Player_Mode_Profile!$A:$A,Player_Mode_Profile!S:S)/(_xlfn.XLOOKUP($A7,Player_Mode_Profile!$A:$A,Player_Mode_Profile!$T:$T)))</f>
        <v>0</v>
      </c>
    </row>
    <row r="8" spans="1:13" x14ac:dyDescent="0.25">
      <c r="A8" t="str">
        <f>Player_Mode_Profile!A8</f>
        <v>M5_eaglez</v>
      </c>
      <c r="B8">
        <v>67</v>
      </c>
      <c r="C8" s="13">
        <f>Player_Class_Profile!D8/Player_Class_Profile!H8</f>
        <v>0.5200892857142857</v>
      </c>
      <c r="D8" s="10">
        <f>Player_Class_Profile!E8/Player_Class_Profile!H8</f>
        <v>0.15178571428571427</v>
      </c>
      <c r="E8" s="10">
        <f>Player_Class_Profile!F8/Player_Class_Profile!H8</f>
        <v>0.13839285714285715</v>
      </c>
      <c r="F8" s="10">
        <f>Player_Class_Profile!G8/Player_Class_Profile!H8</f>
        <v>0.18973214285714285</v>
      </c>
      <c r="G8" s="13">
        <f>(_xlfn.XLOOKUP($A8,Player_Mode_Profile!$A:$A,Player_Mode_Profile!P:P)/(_xlfn.XLOOKUP($A8,Player_Mode_Profile!$A:$A,Player_Mode_Profile!$T:$T)))</f>
        <v>0.32047922126544365</v>
      </c>
      <c r="H8" s="14">
        <f>(_xlfn.XLOOKUP($A8,Player_Mode_Profile!$A:$A,Player_Mode_Profile!Q:Q)/(_xlfn.XLOOKUP($A8,Player_Mode_Profile!$A:$A,Player_Mode_Profile!$T:$T)))</f>
        <v>0.67914638712092845</v>
      </c>
      <c r="I8" s="14">
        <f>(_xlfn.XLOOKUP($A8,Player_Mode_Profile!$A:$A,Player_Mode_Profile!R:R)/(_xlfn.XLOOKUP($A8,Player_Mode_Profile!$A:$A,Player_Mode_Profile!$T:$T)))</f>
        <v>3.7439161362785476E-4</v>
      </c>
      <c r="J8" s="14">
        <f>(_xlfn.XLOOKUP($A8,Player_Mode_Profile!$A:$A,Player_Mode_Profile!S:S)/(_xlfn.XLOOKUP($A8,Player_Mode_Profile!$A:$A,Player_Mode_Profile!$T:$T)))</f>
        <v>0</v>
      </c>
    </row>
    <row r="9" spans="1:13" x14ac:dyDescent="0.25">
      <c r="A9" t="str">
        <f>Player_Mode_Profile!A9</f>
        <v>Ragefast2311</v>
      </c>
      <c r="B9">
        <v>77</v>
      </c>
      <c r="C9" s="13">
        <f>Player_Class_Profile!D9/Player_Class_Profile!H9</f>
        <v>2.2727272727272728E-2</v>
      </c>
      <c r="D9" s="10">
        <f>Player_Class_Profile!E9/Player_Class_Profile!H9</f>
        <v>2.0454545454545454E-2</v>
      </c>
      <c r="E9" s="10">
        <f>Player_Class_Profile!F9/Player_Class_Profile!H9</f>
        <v>2.7272727272727271E-2</v>
      </c>
      <c r="F9" s="10">
        <f>Player_Class_Profile!G9/Player_Class_Profile!H9</f>
        <v>0.92954545454545456</v>
      </c>
      <c r="G9" s="13">
        <f>(_xlfn.XLOOKUP($A9,Player_Mode_Profile!$A:$A,Player_Mode_Profile!P:P)/(_xlfn.XLOOKUP($A9,Player_Mode_Profile!$A:$A,Player_Mode_Profile!$T:$T)))</f>
        <v>9.1198303287380697E-2</v>
      </c>
      <c r="H9" s="14">
        <f>(_xlfn.XLOOKUP($A9,Player_Mode_Profile!$A:$A,Player_Mode_Profile!Q:Q)/(_xlfn.XLOOKUP($A9,Player_Mode_Profile!$A:$A,Player_Mode_Profile!$T:$T)))</f>
        <v>0.10498409331919406</v>
      </c>
      <c r="I9" s="14">
        <f>(_xlfn.XLOOKUP($A9,Player_Mode_Profile!$A:$A,Player_Mode_Profile!R:R)/(_xlfn.XLOOKUP($A9,Player_Mode_Profile!$A:$A,Player_Mode_Profile!$T:$T)))</f>
        <v>0.77147401908801694</v>
      </c>
      <c r="J9" s="14">
        <f>(_xlfn.XLOOKUP($A9,Player_Mode_Profile!$A:$A,Player_Mode_Profile!S:S)/(_xlfn.XLOOKUP($A9,Player_Mode_Profile!$A:$A,Player_Mode_Profile!$T:$T)))</f>
        <v>3.234358430540827E-2</v>
      </c>
    </row>
    <row r="10" spans="1:13" x14ac:dyDescent="0.25">
      <c r="A10" t="str">
        <f>Player_Mode_Profile!A10</f>
        <v>xCPC464x</v>
      </c>
      <c r="B10">
        <v>87</v>
      </c>
      <c r="C10" s="13">
        <f>Player_Class_Profile!D10/Player_Class_Profile!H10</f>
        <v>0.54961832061068705</v>
      </c>
      <c r="D10" s="10">
        <f>Player_Class_Profile!E10/Player_Class_Profile!H10</f>
        <v>5.3435114503816793E-2</v>
      </c>
      <c r="E10" s="10">
        <f>Player_Class_Profile!F10/Player_Class_Profile!H10</f>
        <v>0.31145038167938932</v>
      </c>
      <c r="F10" s="10">
        <f>Player_Class_Profile!G10/Player_Class_Profile!H10</f>
        <v>8.5496183206106871E-2</v>
      </c>
      <c r="G10" s="13">
        <f>(_xlfn.XLOOKUP($A10,Player_Mode_Profile!$A:$A,Player_Mode_Profile!P:P)/(_xlfn.XLOOKUP($A10,Player_Mode_Profile!$A:$A,Player_Mode_Profile!$T:$T)))</f>
        <v>0.47773279352226722</v>
      </c>
      <c r="H10" s="14">
        <f>(_xlfn.XLOOKUP($A10,Player_Mode_Profile!$A:$A,Player_Mode_Profile!Q:Q)/(_xlfn.XLOOKUP($A10,Player_Mode_Profile!$A:$A,Player_Mode_Profile!$T:$T)))</f>
        <v>0.17307692307692307</v>
      </c>
      <c r="I10" s="14">
        <f>(_xlfn.XLOOKUP($A10,Player_Mode_Profile!$A:$A,Player_Mode_Profile!R:R)/(_xlfn.XLOOKUP($A10,Player_Mode_Profile!$A:$A,Player_Mode_Profile!$T:$T)))</f>
        <v>0.21963562753036436</v>
      </c>
      <c r="J10" s="14">
        <f>(_xlfn.XLOOKUP($A10,Player_Mode_Profile!$A:$A,Player_Mode_Profile!S:S)/(_xlfn.XLOOKUP($A10,Player_Mode_Profile!$A:$A,Player_Mode_Profile!$T:$T)))</f>
        <v>0.12955465587044535</v>
      </c>
    </row>
    <row r="11" spans="1:13" x14ac:dyDescent="0.25">
      <c r="A11" t="str">
        <f>Player_Mode_Profile!A11</f>
        <v>Benzo_</v>
      </c>
      <c r="B11">
        <v>97</v>
      </c>
      <c r="C11" s="13">
        <f>Player_Class_Profile!D11/Player_Class_Profile!H11</f>
        <v>5.1724137931034482E-2</v>
      </c>
      <c r="D11" s="10">
        <f>Player_Class_Profile!E11/Player_Class_Profile!H11</f>
        <v>0.29118773946360155</v>
      </c>
      <c r="E11" s="10">
        <f>Player_Class_Profile!F11/Player_Class_Profile!H11</f>
        <v>0.26819923371647508</v>
      </c>
      <c r="F11" s="10">
        <f>Player_Class_Profile!G11/Player_Class_Profile!H11</f>
        <v>0.3888888888888889</v>
      </c>
      <c r="G11" s="13">
        <f>(_xlfn.XLOOKUP($A11,Player_Mode_Profile!$A:$A,Player_Mode_Profile!P:P)/(_xlfn.XLOOKUP($A11,Player_Mode_Profile!$A:$A,Player_Mode_Profile!$T:$T)))</f>
        <v>0.10469798657718121</v>
      </c>
      <c r="H11" s="14">
        <f>(_xlfn.XLOOKUP($A11,Player_Mode_Profile!$A:$A,Player_Mode_Profile!Q:Q)/(_xlfn.XLOOKUP($A11,Player_Mode_Profile!$A:$A,Player_Mode_Profile!$T:$T)))</f>
        <v>0.8526845637583893</v>
      </c>
      <c r="I11" s="14">
        <f>(_xlfn.XLOOKUP($A11,Player_Mode_Profile!$A:$A,Player_Mode_Profile!R:R)/(_xlfn.XLOOKUP($A11,Player_Mode_Profile!$A:$A,Player_Mode_Profile!$T:$T)))</f>
        <v>1.5436241610738255E-2</v>
      </c>
      <c r="J11" s="14">
        <f>(_xlfn.XLOOKUP($A11,Player_Mode_Profile!$A:$A,Player_Mode_Profile!S:S)/(_xlfn.XLOOKUP($A11,Player_Mode_Profile!$A:$A,Player_Mode_Profile!$T:$T)))</f>
        <v>2.7181208053691275E-2</v>
      </c>
    </row>
    <row r="12" spans="1:13" x14ac:dyDescent="0.25">
      <c r="A12" t="str">
        <f>Player_Mode_Profile!A12</f>
        <v>rgayregger</v>
      </c>
      <c r="B12">
        <v>107</v>
      </c>
      <c r="C12" s="13">
        <f>Player_Class_Profile!D12/Player_Class_Profile!H12</f>
        <v>0.69421487603305787</v>
      </c>
      <c r="D12" s="10">
        <f>Player_Class_Profile!E12/Player_Class_Profile!H12</f>
        <v>0.16253443526170799</v>
      </c>
      <c r="E12" s="10">
        <f>Player_Class_Profile!F12/Player_Class_Profile!H12</f>
        <v>8.2644628099173556E-2</v>
      </c>
      <c r="F12" s="10">
        <f>Player_Class_Profile!G12/Player_Class_Profile!H12</f>
        <v>6.0606060606060608E-2</v>
      </c>
      <c r="G12" s="13">
        <f>(_xlfn.XLOOKUP($A12,Player_Mode_Profile!$A:$A,Player_Mode_Profile!P:P)/(_xlfn.XLOOKUP($A12,Player_Mode_Profile!$A:$A,Player_Mode_Profile!$T:$T)))</f>
        <v>0.29792429792429792</v>
      </c>
      <c r="H12" s="14">
        <f>(_xlfn.XLOOKUP($A12,Player_Mode_Profile!$A:$A,Player_Mode_Profile!Q:Q)/(_xlfn.XLOOKUP($A12,Player_Mode_Profile!$A:$A,Player_Mode_Profile!$T:$T)))</f>
        <v>0.39804639804639802</v>
      </c>
      <c r="I12" s="14">
        <f>(_xlfn.XLOOKUP($A12,Player_Mode_Profile!$A:$A,Player_Mode_Profile!R:R)/(_xlfn.XLOOKUP($A12,Player_Mode_Profile!$A:$A,Player_Mode_Profile!$T:$T)))</f>
        <v>0.30158730158730157</v>
      </c>
      <c r="J12" s="14">
        <f>(_xlfn.XLOOKUP($A12,Player_Mode_Profile!$A:$A,Player_Mode_Profile!S:S)/(_xlfn.XLOOKUP($A12,Player_Mode_Profile!$A:$A,Player_Mode_Profile!$T:$T)))</f>
        <v>2.442002442002442E-3</v>
      </c>
    </row>
    <row r="13" spans="1:13" x14ac:dyDescent="0.25">
      <c r="A13" t="str">
        <f>Player_Mode_Profile!A13</f>
        <v>dark_ken2284</v>
      </c>
      <c r="B13">
        <v>117</v>
      </c>
      <c r="C13" s="13">
        <f>Player_Class_Profile!D13/Player_Class_Profile!H13</f>
        <v>0.50214592274678116</v>
      </c>
      <c r="D13" s="10">
        <f>Player_Class_Profile!E13/Player_Class_Profile!H13</f>
        <v>6.4377682403433476E-3</v>
      </c>
      <c r="E13" s="10">
        <f>Player_Class_Profile!F13/Player_Class_Profile!H13</f>
        <v>0.22317596566523606</v>
      </c>
      <c r="F13" s="10">
        <f>Player_Class_Profile!G13/Player_Class_Profile!H13</f>
        <v>0.26824034334763946</v>
      </c>
      <c r="G13" s="13">
        <f>(_xlfn.XLOOKUP($A13,Player_Mode_Profile!$A:$A,Player_Mode_Profile!P:P)/(_xlfn.XLOOKUP($A13,Player_Mode_Profile!$A:$A,Player_Mode_Profile!$T:$T)))</f>
        <v>1.3772749631087064E-2</v>
      </c>
      <c r="H13" s="14">
        <f>(_xlfn.XLOOKUP($A13,Player_Mode_Profile!$A:$A,Player_Mode_Profile!Q:Q)/(_xlfn.XLOOKUP($A13,Player_Mode_Profile!$A:$A,Player_Mode_Profile!$T:$T)))</f>
        <v>0.20265617314313822</v>
      </c>
      <c r="I13" s="14">
        <f>(_xlfn.XLOOKUP($A13,Player_Mode_Profile!$A:$A,Player_Mode_Profile!R:R)/(_xlfn.XLOOKUP($A13,Player_Mode_Profile!$A:$A,Player_Mode_Profile!$T:$T)))</f>
        <v>0.61091982292179048</v>
      </c>
      <c r="J13" s="14">
        <f>(_xlfn.XLOOKUP($A13,Player_Mode_Profile!$A:$A,Player_Mode_Profile!S:S)/(_xlfn.XLOOKUP($A13,Player_Mode_Profile!$A:$A,Player_Mode_Profile!$T:$T)))</f>
        <v>0.17265125430398426</v>
      </c>
    </row>
    <row r="14" spans="1:13" x14ac:dyDescent="0.25">
      <c r="A14" t="str">
        <f>Player_Mode_Profile!A14</f>
        <v>Mosthated220</v>
      </c>
      <c r="B14">
        <v>127</v>
      </c>
      <c r="C14" s="13">
        <f>Player_Class_Profile!D14/Player_Class_Profile!H14</f>
        <v>0.30252100840336132</v>
      </c>
      <c r="D14" s="10">
        <f>Player_Class_Profile!E14/Player_Class_Profile!H14</f>
        <v>0.24089635854341737</v>
      </c>
      <c r="E14" s="10">
        <f>Player_Class_Profile!F14/Player_Class_Profile!H14</f>
        <v>0.25770308123249297</v>
      </c>
      <c r="F14" s="10">
        <f>Player_Class_Profile!G14/Player_Class_Profile!H14</f>
        <v>0.19887955182072828</v>
      </c>
      <c r="G14" s="13">
        <f>(_xlfn.XLOOKUP($A14,Player_Mode_Profile!$A:$A,Player_Mode_Profile!P:P)/(_xlfn.XLOOKUP($A14,Player_Mode_Profile!$A:$A,Player_Mode_Profile!$T:$T)))</f>
        <v>1.9973368841544607E-3</v>
      </c>
      <c r="H14" s="14">
        <f>(_xlfn.XLOOKUP($A14,Player_Mode_Profile!$A:$A,Player_Mode_Profile!Q:Q)/(_xlfn.XLOOKUP($A14,Player_Mode_Profile!$A:$A,Player_Mode_Profile!$T:$T)))</f>
        <v>7.989347536617843E-3</v>
      </c>
      <c r="I14" s="14">
        <f>(_xlfn.XLOOKUP($A14,Player_Mode_Profile!$A:$A,Player_Mode_Profile!R:R)/(_xlfn.XLOOKUP($A14,Player_Mode_Profile!$A:$A,Player_Mode_Profile!$T:$T)))</f>
        <v>0.98402130492676432</v>
      </c>
      <c r="J14" s="14">
        <f>(_xlfn.XLOOKUP($A14,Player_Mode_Profile!$A:$A,Player_Mode_Profile!S:S)/(_xlfn.XLOOKUP($A14,Player_Mode_Profile!$A:$A,Player_Mode_Profile!$T:$T)))</f>
        <v>5.9920106524633818E-3</v>
      </c>
    </row>
    <row r="15" spans="1:13" x14ac:dyDescent="0.25">
      <c r="A15" t="str">
        <f>Player_Mode_Profile!A15</f>
        <v>Bilbo-Fragginz88</v>
      </c>
      <c r="B15">
        <v>137</v>
      </c>
      <c r="C15" s="13">
        <f>Player_Class_Profile!D15/Player_Class_Profile!H15</f>
        <v>0.66666666666666663</v>
      </c>
      <c r="D15" s="10">
        <f>Player_Class_Profile!E15/Player_Class_Profile!H15</f>
        <v>0.24038461538461539</v>
      </c>
      <c r="E15" s="10">
        <f>Player_Class_Profile!F15/Player_Class_Profile!H15</f>
        <v>1.9230769230769232E-2</v>
      </c>
      <c r="F15" s="10">
        <f>Player_Class_Profile!G15/Player_Class_Profile!H15</f>
        <v>7.371794871794872E-2</v>
      </c>
      <c r="G15" s="13">
        <f>(_xlfn.XLOOKUP($A15,Player_Mode_Profile!$A:$A,Player_Mode_Profile!P:P)/(_xlfn.XLOOKUP($A15,Player_Mode_Profile!$A:$A,Player_Mode_Profile!$T:$T)))</f>
        <v>3.1700288184438041E-2</v>
      </c>
      <c r="H15" s="14">
        <f>(_xlfn.XLOOKUP($A15,Player_Mode_Profile!$A:$A,Player_Mode_Profile!Q:Q)/(_xlfn.XLOOKUP($A15,Player_Mode_Profile!$A:$A,Player_Mode_Profile!$T:$T)))</f>
        <v>2.7377521613832854E-2</v>
      </c>
      <c r="I15" s="14">
        <f>(_xlfn.XLOOKUP($A15,Player_Mode_Profile!$A:$A,Player_Mode_Profile!R:R)/(_xlfn.XLOOKUP($A15,Player_Mode_Profile!$A:$A,Player_Mode_Profile!$T:$T)))</f>
        <v>0.94092219020172907</v>
      </c>
      <c r="J15" s="14">
        <f>(_xlfn.XLOOKUP($A15,Player_Mode_Profile!$A:$A,Player_Mode_Profile!S:S)/(_xlfn.XLOOKUP($A15,Player_Mode_Profile!$A:$A,Player_Mode_Profile!$T:$T)))</f>
        <v>0</v>
      </c>
    </row>
    <row r="16" spans="1:13" x14ac:dyDescent="0.25">
      <c r="A16" t="str">
        <f>Player_Mode_Profile!A16</f>
        <v>xensis</v>
      </c>
      <c r="B16">
        <v>147</v>
      </c>
      <c r="C16" s="13">
        <f>Player_Class_Profile!D16/Player_Class_Profile!H16</f>
        <v>0.31187410586552217</v>
      </c>
      <c r="D16" s="10">
        <f>Player_Class_Profile!E16/Player_Class_Profile!H16</f>
        <v>0.22031473533619456</v>
      </c>
      <c r="E16" s="10">
        <f>Player_Class_Profile!F16/Player_Class_Profile!H16</f>
        <v>8.5836909871244635E-2</v>
      </c>
      <c r="F16" s="10">
        <f>Player_Class_Profile!G16/Player_Class_Profile!H16</f>
        <v>0.38197424892703863</v>
      </c>
      <c r="G16" s="13">
        <f>(_xlfn.XLOOKUP($A16,Player_Mode_Profile!$A:$A,Player_Mode_Profile!P:P)/(_xlfn.XLOOKUP($A16,Player_Mode_Profile!$A:$A,Player_Mode_Profile!$T:$T)))</f>
        <v>0.9500689655172414</v>
      </c>
      <c r="H16" s="14">
        <f>(_xlfn.XLOOKUP($A16,Player_Mode_Profile!$A:$A,Player_Mode_Profile!Q:Q)/(_xlfn.XLOOKUP($A16,Player_Mode_Profile!$A:$A,Player_Mode_Profile!$T:$T)))</f>
        <v>3.7517241379310347E-2</v>
      </c>
      <c r="I16" s="14">
        <f>(_xlfn.XLOOKUP($A16,Player_Mode_Profile!$A:$A,Player_Mode_Profile!R:R)/(_xlfn.XLOOKUP($A16,Player_Mode_Profile!$A:$A,Player_Mode_Profile!$T:$T)))</f>
        <v>1.1034482758620689E-2</v>
      </c>
      <c r="J16" s="14">
        <f>(_xlfn.XLOOKUP($A16,Player_Mode_Profile!$A:$A,Player_Mode_Profile!S:S)/(_xlfn.XLOOKUP($A16,Player_Mode_Profile!$A:$A,Player_Mode_Profile!$T:$T)))</f>
        <v>1.3793103448275861E-3</v>
      </c>
    </row>
    <row r="17" spans="1:10" x14ac:dyDescent="0.25">
      <c r="A17" t="str">
        <f>Player_Mode_Profile!A17</f>
        <v>Hogwarts</v>
      </c>
      <c r="B17">
        <v>157</v>
      </c>
      <c r="C17" s="13">
        <f>Player_Class_Profile!D17/Player_Class_Profile!H17</f>
        <v>0.38356164383561642</v>
      </c>
      <c r="D17" s="10">
        <f>Player_Class_Profile!E17/Player_Class_Profile!H17</f>
        <v>0.33789954337899542</v>
      </c>
      <c r="E17" s="10">
        <f>Player_Class_Profile!F17/Player_Class_Profile!H17</f>
        <v>0.13242009132420091</v>
      </c>
      <c r="F17" s="10">
        <f>Player_Class_Profile!G17/Player_Class_Profile!H17</f>
        <v>0.14611872146118721</v>
      </c>
      <c r="G17" s="13">
        <f>(_xlfn.XLOOKUP($A17,Player_Mode_Profile!$A:$A,Player_Mode_Profile!P:P)/(_xlfn.XLOOKUP($A17,Player_Mode_Profile!$A:$A,Player_Mode_Profile!$T:$T)))</f>
        <v>0.75781614559029398</v>
      </c>
      <c r="H17" s="14">
        <f>(_xlfn.XLOOKUP($A17,Player_Mode_Profile!$A:$A,Player_Mode_Profile!Q:Q)/(_xlfn.XLOOKUP($A17,Player_Mode_Profile!$A:$A,Player_Mode_Profile!$T:$T)))</f>
        <v>0.11759216052263183</v>
      </c>
      <c r="I17" s="14">
        <f>(_xlfn.XLOOKUP($A17,Player_Mode_Profile!$A:$A,Player_Mode_Profile!R:R)/(_xlfn.XLOOKUP($A17,Player_Mode_Profile!$A:$A,Player_Mode_Profile!$T:$T)))</f>
        <v>8.5394307046196924E-2</v>
      </c>
      <c r="J17" s="14">
        <f>(_xlfn.XLOOKUP($A17,Player_Mode_Profile!$A:$A,Player_Mode_Profile!S:S)/(_xlfn.XLOOKUP($A17,Player_Mode_Profile!$A:$A,Player_Mode_Profile!$T:$T)))</f>
        <v>3.9197386840877278E-2</v>
      </c>
    </row>
    <row r="18" spans="1:10" x14ac:dyDescent="0.25">
      <c r="A18" t="str">
        <f>Player_Mode_Profile!A18</f>
        <v>Vince77820</v>
      </c>
      <c r="B18">
        <v>167</v>
      </c>
      <c r="C18" s="13">
        <f>Player_Class_Profile!D18/Player_Class_Profile!H18</f>
        <v>0.216796875</v>
      </c>
      <c r="D18" s="10">
        <f>Player_Class_Profile!E18/Player_Class_Profile!H18</f>
        <v>0.263671875</v>
      </c>
      <c r="E18" s="10">
        <f>Player_Class_Profile!F18/Player_Class_Profile!H18</f>
        <v>0.236328125</v>
      </c>
      <c r="F18" s="10">
        <f>Player_Class_Profile!G18/Player_Class_Profile!H18</f>
        <v>0.283203125</v>
      </c>
      <c r="G18" s="13">
        <f>(_xlfn.XLOOKUP($A18,Player_Mode_Profile!$A:$A,Player_Mode_Profile!P:P)/(_xlfn.XLOOKUP($A18,Player_Mode_Profile!$A:$A,Player_Mode_Profile!$T:$T)))</f>
        <v>0.79079798705966931</v>
      </c>
      <c r="H18" s="14">
        <f>(_xlfn.XLOOKUP($A18,Player_Mode_Profile!$A:$A,Player_Mode_Profile!Q:Q)/(_xlfn.XLOOKUP($A18,Player_Mode_Profile!$A:$A,Player_Mode_Profile!$T:$T)))</f>
        <v>0.13371675053918045</v>
      </c>
      <c r="I18" s="14">
        <f>(_xlfn.XLOOKUP($A18,Player_Mode_Profile!$A:$A,Player_Mode_Profile!R:R)/(_xlfn.XLOOKUP($A18,Player_Mode_Profile!$A:$A,Player_Mode_Profile!$T:$T)))</f>
        <v>6.9015097052480226E-2</v>
      </c>
      <c r="J18" s="14">
        <f>(_xlfn.XLOOKUP($A18,Player_Mode_Profile!$A:$A,Player_Mode_Profile!S:S)/(_xlfn.XLOOKUP($A18,Player_Mode_Profile!$A:$A,Player_Mode_Profile!$T:$T)))</f>
        <v>6.4701653486700216E-3</v>
      </c>
    </row>
    <row r="19" spans="1:10" x14ac:dyDescent="0.25">
      <c r="A19" t="str">
        <f>Player_Mode_Profile!A19</f>
        <v>issa_coot</v>
      </c>
      <c r="B19">
        <v>177</v>
      </c>
      <c r="C19" s="13">
        <f>Player_Class_Profile!D19/Player_Class_Profile!H19</f>
        <v>0.17002237136465326</v>
      </c>
      <c r="D19" s="10">
        <f>Player_Class_Profile!E19/Player_Class_Profile!H19</f>
        <v>0.48098434004474272</v>
      </c>
      <c r="E19" s="10">
        <f>Player_Class_Profile!F19/Player_Class_Profile!H19</f>
        <v>0.15883668903803133</v>
      </c>
      <c r="F19" s="10">
        <f>Player_Class_Profile!G19/Player_Class_Profile!H19</f>
        <v>0.19015659955257272</v>
      </c>
      <c r="G19" s="13">
        <f>(_xlfn.XLOOKUP($A19,Player_Mode_Profile!$A:$A,Player_Mode_Profile!P:P)/(_xlfn.XLOOKUP($A19,Player_Mode_Profile!$A:$A,Player_Mode_Profile!$T:$T)))</f>
        <v>0.72712283594394067</v>
      </c>
      <c r="H19" s="14">
        <f>(_xlfn.XLOOKUP($A19,Player_Mode_Profile!$A:$A,Player_Mode_Profile!Q:Q)/(_xlfn.XLOOKUP($A19,Player_Mode_Profile!$A:$A,Player_Mode_Profile!$T:$T)))</f>
        <v>0.19126133553173949</v>
      </c>
      <c r="I19" s="14">
        <f>(_xlfn.XLOOKUP($A19,Player_Mode_Profile!$A:$A,Player_Mode_Profile!R:R)/(_xlfn.XLOOKUP($A19,Player_Mode_Profile!$A:$A,Player_Mode_Profile!$T:$T)))</f>
        <v>7.4608408903544934E-2</v>
      </c>
      <c r="J19" s="14">
        <f>(_xlfn.XLOOKUP($A19,Player_Mode_Profile!$A:$A,Player_Mode_Profile!S:S)/(_xlfn.XLOOKUP($A19,Player_Mode_Profile!$A:$A,Player_Mode_Profile!$T:$T)))</f>
        <v>7.0074196207749384E-3</v>
      </c>
    </row>
    <row r="20" spans="1:10" x14ac:dyDescent="0.25">
      <c r="A20" t="str">
        <f>Player_Mode_Profile!A20</f>
        <v>Altelete</v>
      </c>
      <c r="B20">
        <v>187</v>
      </c>
      <c r="C20" s="13">
        <f>Player_Class_Profile!D20/Player_Class_Profile!H20</f>
        <v>0.12041884816753927</v>
      </c>
      <c r="D20" s="10">
        <f>Player_Class_Profile!E20/Player_Class_Profile!H20</f>
        <v>3.7958115183246072E-2</v>
      </c>
      <c r="E20" s="10">
        <f>Player_Class_Profile!F20/Player_Class_Profile!H20</f>
        <v>0.79057591623036649</v>
      </c>
      <c r="F20" s="10">
        <f>Player_Class_Profile!G20/Player_Class_Profile!H20</f>
        <v>5.1047120418848166E-2</v>
      </c>
      <c r="G20" s="13">
        <f>(_xlfn.XLOOKUP($A20,Player_Mode_Profile!$A:$A,Player_Mode_Profile!P:P)/(_xlfn.XLOOKUP($A20,Player_Mode_Profile!$A:$A,Player_Mode_Profile!$T:$T)))</f>
        <v>0.8219570405727924</v>
      </c>
      <c r="H20" s="14">
        <f>(_xlfn.XLOOKUP($A20,Player_Mode_Profile!$A:$A,Player_Mode_Profile!Q:Q)/(_xlfn.XLOOKUP($A20,Player_Mode_Profile!$A:$A,Player_Mode_Profile!$T:$T)))</f>
        <v>0.12243436754176611</v>
      </c>
      <c r="I20" s="14">
        <f>(_xlfn.XLOOKUP($A20,Player_Mode_Profile!$A:$A,Player_Mode_Profile!R:R)/(_xlfn.XLOOKUP($A20,Player_Mode_Profile!$A:$A,Player_Mode_Profile!$T:$T)))</f>
        <v>2.1241050119331743E-2</v>
      </c>
      <c r="J20" s="14">
        <f>(_xlfn.XLOOKUP($A20,Player_Mode_Profile!$A:$A,Player_Mode_Profile!S:S)/(_xlfn.XLOOKUP($A20,Player_Mode_Profile!$A:$A,Player_Mode_Profile!$T:$T)))</f>
        <v>3.4367541766109788E-2</v>
      </c>
    </row>
    <row r="21" spans="1:10" x14ac:dyDescent="0.25">
      <c r="A21" t="str">
        <f>Player_Mode_Profile!A21</f>
        <v>on3fr3ak</v>
      </c>
      <c r="B21">
        <v>197</v>
      </c>
      <c r="C21" s="13">
        <f>Player_Class_Profile!D21/Player_Class_Profile!H21</f>
        <v>6.5878378378378372E-2</v>
      </c>
      <c r="D21" s="10">
        <f>Player_Class_Profile!E21/Player_Class_Profile!H21</f>
        <v>4.5608108108108107E-2</v>
      </c>
      <c r="E21" s="10">
        <f>Player_Class_Profile!F21/Player_Class_Profile!H21</f>
        <v>0.75506756756756754</v>
      </c>
      <c r="F21" s="10">
        <f>Player_Class_Profile!G21/Player_Class_Profile!H21</f>
        <v>0.13344594594594594</v>
      </c>
      <c r="G21" s="13">
        <f>(_xlfn.XLOOKUP($A21,Player_Mode_Profile!$A:$A,Player_Mode_Profile!P:P)/(_xlfn.XLOOKUP($A21,Player_Mode_Profile!$A:$A,Player_Mode_Profile!$T:$T)))</f>
        <v>0.88003008649868375</v>
      </c>
      <c r="H21" s="14">
        <f>(_xlfn.XLOOKUP($A21,Player_Mode_Profile!$A:$A,Player_Mode_Profile!Q:Q)/(_xlfn.XLOOKUP($A21,Player_Mode_Profile!$A:$A,Player_Mode_Profile!$T:$T)))</f>
        <v>3.7984204588191052E-2</v>
      </c>
      <c r="I21" s="14">
        <f>(_xlfn.XLOOKUP($A21,Player_Mode_Profile!$A:$A,Player_Mode_Profile!R:R)/(_xlfn.XLOOKUP($A21,Player_Mode_Profile!$A:$A,Player_Mode_Profile!$T:$T)))</f>
        <v>5.6412185031966905E-2</v>
      </c>
      <c r="J21" s="14">
        <f>(_xlfn.XLOOKUP($A21,Player_Mode_Profile!$A:$A,Player_Mode_Profile!S:S)/(_xlfn.XLOOKUP($A21,Player_Mode_Profile!$A:$A,Player_Mode_Profile!$T:$T)))</f>
        <v>2.5573523881158331E-2</v>
      </c>
    </row>
    <row r="22" spans="1:10" x14ac:dyDescent="0.25">
      <c r="A22" t="str">
        <f>Player_Mode_Profile!A22</f>
        <v>Felliandro</v>
      </c>
      <c r="B22">
        <v>207</v>
      </c>
      <c r="C22" s="13">
        <f>Player_Class_Profile!D22/Player_Class_Profile!H22</f>
        <v>5.9171597633136093E-3</v>
      </c>
      <c r="D22" s="10">
        <f>Player_Class_Profile!E22/Player_Class_Profile!H22</f>
        <v>0.35207100591715978</v>
      </c>
      <c r="E22" s="10">
        <f>Player_Class_Profile!F22/Player_Class_Profile!H22</f>
        <v>5.9171597633136093E-3</v>
      </c>
      <c r="F22" s="10">
        <f>Player_Class_Profile!G22/Player_Class_Profile!H22</f>
        <v>0.63609467455621305</v>
      </c>
      <c r="G22" s="13">
        <f>(_xlfn.XLOOKUP($A22,Player_Mode_Profile!$A:$A,Player_Mode_Profile!P:P)/(_xlfn.XLOOKUP($A22,Player_Mode_Profile!$A:$A,Player_Mode_Profile!$T:$T)))</f>
        <v>0.17982708933717578</v>
      </c>
      <c r="H22" s="14">
        <f>(_xlfn.XLOOKUP($A22,Player_Mode_Profile!$A:$A,Player_Mode_Profile!Q:Q)/(_xlfn.XLOOKUP($A22,Player_Mode_Profile!$A:$A,Player_Mode_Profile!$T:$T)))</f>
        <v>0.18213256484149856</v>
      </c>
      <c r="I22" s="14">
        <f>(_xlfn.XLOOKUP($A22,Player_Mode_Profile!$A:$A,Player_Mode_Profile!R:R)/(_xlfn.XLOOKUP($A22,Player_Mode_Profile!$A:$A,Player_Mode_Profile!$T:$T)))</f>
        <v>0.6138328530259366</v>
      </c>
      <c r="J22" s="14">
        <f>(_xlfn.XLOOKUP($A22,Player_Mode_Profile!$A:$A,Player_Mode_Profile!S:S)/(_xlfn.XLOOKUP($A22,Player_Mode_Profile!$A:$A,Player_Mode_Profile!$T:$T)))</f>
        <v>2.420749279538905E-2</v>
      </c>
    </row>
    <row r="23" spans="1:10" x14ac:dyDescent="0.25">
      <c r="A23" t="str">
        <f>Player_Mode_Profile!A23</f>
        <v>Tohu-1021</v>
      </c>
      <c r="B23">
        <v>217</v>
      </c>
      <c r="C23" s="13">
        <f>Player_Class_Profile!D23/Player_Class_Profile!H23</f>
        <v>0.46934460887949259</v>
      </c>
      <c r="D23" s="10">
        <f>Player_Class_Profile!E23/Player_Class_Profile!H23</f>
        <v>0.26849894291754756</v>
      </c>
      <c r="E23" s="10">
        <f>Player_Class_Profile!F23/Player_Class_Profile!H23</f>
        <v>0.13742071881606766</v>
      </c>
      <c r="F23" s="10">
        <f>Player_Class_Profile!G23/Player_Class_Profile!H23</f>
        <v>0.12473572938689217</v>
      </c>
      <c r="G23" s="13">
        <f>(_xlfn.XLOOKUP($A23,Player_Mode_Profile!$A:$A,Player_Mode_Profile!P:P)/(_xlfn.XLOOKUP($A23,Player_Mode_Profile!$A:$A,Player_Mode_Profile!$T:$T)))</f>
        <v>0.60348162475822054</v>
      </c>
      <c r="H23" s="14">
        <f>(_xlfn.XLOOKUP($A23,Player_Mode_Profile!$A:$A,Player_Mode_Profile!Q:Q)/(_xlfn.XLOOKUP($A23,Player_Mode_Profile!$A:$A,Player_Mode_Profile!$T:$T)))</f>
        <v>0.27079303675048355</v>
      </c>
      <c r="I23" s="14">
        <f>(_xlfn.XLOOKUP($A23,Player_Mode_Profile!$A:$A,Player_Mode_Profile!R:R)/(_xlfn.XLOOKUP($A23,Player_Mode_Profile!$A:$A,Player_Mode_Profile!$T:$T)))</f>
        <v>9.7098646034816244E-2</v>
      </c>
      <c r="J23" s="14">
        <f>(_xlfn.XLOOKUP($A23,Player_Mode_Profile!$A:$A,Player_Mode_Profile!S:S)/(_xlfn.XLOOKUP($A23,Player_Mode_Profile!$A:$A,Player_Mode_Profile!$T:$T)))</f>
        <v>2.862669245647969E-2</v>
      </c>
    </row>
    <row r="24" spans="1:10" x14ac:dyDescent="0.25">
      <c r="A24" t="str">
        <f>Player_Mode_Profile!A24</f>
        <v>Francko Escobar</v>
      </c>
      <c r="B24">
        <v>227</v>
      </c>
      <c r="C24" s="13">
        <f>Player_Class_Profile!D24/Player_Class_Profile!H24</f>
        <v>0.77843137254901962</v>
      </c>
      <c r="D24" s="10">
        <f>Player_Class_Profile!E24/Player_Class_Profile!H24</f>
        <v>0.16274509803921569</v>
      </c>
      <c r="E24" s="10">
        <f>Player_Class_Profile!F24/Player_Class_Profile!H24</f>
        <v>1.5686274509803921E-2</v>
      </c>
      <c r="F24" s="10">
        <f>Player_Class_Profile!G24/Player_Class_Profile!H24</f>
        <v>4.3137254901960784E-2</v>
      </c>
      <c r="G24" s="13">
        <f>(_xlfn.XLOOKUP($A24,Player_Mode_Profile!$A:$A,Player_Mode_Profile!P:P)/(_xlfn.XLOOKUP($A24,Player_Mode_Profile!$A:$A,Player_Mode_Profile!$T:$T)))</f>
        <v>0.25017568517217148</v>
      </c>
      <c r="H24" s="14">
        <f>(_xlfn.XLOOKUP($A24,Player_Mode_Profile!$A:$A,Player_Mode_Profile!Q:Q)/(_xlfn.XLOOKUP($A24,Player_Mode_Profile!$A:$A,Player_Mode_Profile!$T:$T)))</f>
        <v>0.14617006324666199</v>
      </c>
      <c r="I24" s="14">
        <f>(_xlfn.XLOOKUP($A24,Player_Mode_Profile!$A:$A,Player_Mode_Profile!R:R)/(_xlfn.XLOOKUP($A24,Player_Mode_Profile!$A:$A,Player_Mode_Profile!$T:$T)))</f>
        <v>0.59451862262825017</v>
      </c>
      <c r="J24" s="14">
        <f>(_xlfn.XLOOKUP($A24,Player_Mode_Profile!$A:$A,Player_Mode_Profile!S:S)/(_xlfn.XLOOKUP($A24,Player_Mode_Profile!$A:$A,Player_Mode_Profile!$T:$T)))</f>
        <v>9.1356289529163741E-3</v>
      </c>
    </row>
    <row r="25" spans="1:10" x14ac:dyDescent="0.25">
      <c r="A25" t="str">
        <f>Player_Mode_Profile!A25</f>
        <v>Rubiroid_YT</v>
      </c>
      <c r="B25">
        <v>237</v>
      </c>
      <c r="C25" s="13">
        <f>Player_Class_Profile!D25/Player_Class_Profile!H25</f>
        <v>0.2033132530120482</v>
      </c>
      <c r="D25" s="10">
        <f>Player_Class_Profile!E25/Player_Class_Profile!H25</f>
        <v>0.34186746987951805</v>
      </c>
      <c r="E25" s="10">
        <f>Player_Class_Profile!F25/Player_Class_Profile!H25</f>
        <v>0.13403614457831325</v>
      </c>
      <c r="F25" s="10">
        <f>Player_Class_Profile!G25/Player_Class_Profile!H25</f>
        <v>0.32078313253012047</v>
      </c>
      <c r="G25" s="13">
        <f>(_xlfn.XLOOKUP($A25,Player_Mode_Profile!$A:$A,Player_Mode_Profile!P:P)/(_xlfn.XLOOKUP($A25,Player_Mode_Profile!$A:$A,Player_Mode_Profile!$T:$T)))</f>
        <v>0.81321645313553603</v>
      </c>
      <c r="H25" s="14">
        <f>(_xlfn.XLOOKUP($A25,Player_Mode_Profile!$A:$A,Player_Mode_Profile!Q:Q)/(_xlfn.XLOOKUP($A25,Player_Mode_Profile!$A:$A,Player_Mode_Profile!$T:$T)))</f>
        <v>0.1672285906945381</v>
      </c>
      <c r="I25" s="14">
        <f>(_xlfn.XLOOKUP($A25,Player_Mode_Profile!$A:$A,Player_Mode_Profile!R:R)/(_xlfn.XLOOKUP($A25,Player_Mode_Profile!$A:$A,Player_Mode_Profile!$T:$T)))</f>
        <v>1.5846257585974376E-2</v>
      </c>
      <c r="J25" s="14">
        <f>(_xlfn.XLOOKUP($A25,Player_Mode_Profile!$A:$A,Player_Mode_Profile!S:S)/(_xlfn.XLOOKUP($A25,Player_Mode_Profile!$A:$A,Player_Mode_Profile!$T:$T)))</f>
        <v>3.7086985839514496E-3</v>
      </c>
    </row>
    <row r="26" spans="1:10" x14ac:dyDescent="0.25">
      <c r="A26" t="str">
        <f>Player_Mode_Profile!A26</f>
        <v>THE1ST48</v>
      </c>
      <c r="B26">
        <v>247</v>
      </c>
      <c r="C26" s="13">
        <f>Player_Class_Profile!D26/Player_Class_Profile!H26</f>
        <v>0.1670235546038544</v>
      </c>
      <c r="D26" s="10">
        <f>Player_Class_Profile!E26/Player_Class_Profile!H26</f>
        <v>0.1284796573875803</v>
      </c>
      <c r="E26" s="10">
        <f>Player_Class_Profile!F26/Player_Class_Profile!H26</f>
        <v>0.13062098501070663</v>
      </c>
      <c r="F26" s="10">
        <f>Player_Class_Profile!G26/Player_Class_Profile!H26</f>
        <v>0.57387580299785867</v>
      </c>
      <c r="G26" s="13">
        <f>(_xlfn.XLOOKUP($A26,Player_Mode_Profile!$A:$A,Player_Mode_Profile!P:P)/(_xlfn.XLOOKUP($A26,Player_Mode_Profile!$A:$A,Player_Mode_Profile!$T:$T)))</f>
        <v>0.28824273072060685</v>
      </c>
      <c r="H26" s="14">
        <f>(_xlfn.XLOOKUP($A26,Player_Mode_Profile!$A:$A,Player_Mode_Profile!Q:Q)/(_xlfn.XLOOKUP($A26,Player_Mode_Profile!$A:$A,Player_Mode_Profile!$T:$T)))</f>
        <v>0.10493046776232617</v>
      </c>
      <c r="I26" s="14">
        <f>(_xlfn.XLOOKUP($A26,Player_Mode_Profile!$A:$A,Player_Mode_Profile!R:R)/(_xlfn.XLOOKUP($A26,Player_Mode_Profile!$A:$A,Player_Mode_Profile!$T:$T)))</f>
        <v>0.51833122629582806</v>
      </c>
      <c r="J26" s="14">
        <f>(_xlfn.XLOOKUP($A26,Player_Mode_Profile!$A:$A,Player_Mode_Profile!S:S)/(_xlfn.XLOOKUP($A26,Player_Mode_Profile!$A:$A,Player_Mode_Profile!$T:$T)))</f>
        <v>8.8495575221238937E-2</v>
      </c>
    </row>
    <row r="27" spans="1:10" x14ac:dyDescent="0.25">
      <c r="A27" t="str">
        <f>Player_Mode_Profile!A27</f>
        <v>Pugskooll</v>
      </c>
      <c r="B27">
        <v>257</v>
      </c>
      <c r="C27" s="13">
        <f>Player_Class_Profile!D27/Player_Class_Profile!H27</f>
        <v>4.2016806722689074E-3</v>
      </c>
      <c r="D27" s="10">
        <f>Player_Class_Profile!E27/Player_Class_Profile!H27</f>
        <v>1.2605042016806723E-2</v>
      </c>
      <c r="E27" s="10">
        <f>Player_Class_Profile!F27/Player_Class_Profile!H27</f>
        <v>0.43697478991596639</v>
      </c>
      <c r="F27" s="10">
        <f>Player_Class_Profile!G27/Player_Class_Profile!H27</f>
        <v>0.54621848739495793</v>
      </c>
      <c r="G27" s="13">
        <f>(_xlfn.XLOOKUP($A27,Player_Mode_Profile!$A:$A,Player_Mode_Profile!P:P)/(_xlfn.XLOOKUP($A27,Player_Mode_Profile!$A:$A,Player_Mode_Profile!$T:$T)))</f>
        <v>0.85010906824555932</v>
      </c>
      <c r="H27" s="14">
        <f>(_xlfn.XLOOKUP($A27,Player_Mode_Profile!$A:$A,Player_Mode_Profile!Q:Q)/(_xlfn.XLOOKUP($A27,Player_Mode_Profile!$A:$A,Player_Mode_Profile!$T:$T)))</f>
        <v>9.6603303209722657E-2</v>
      </c>
      <c r="I27" s="14">
        <f>(_xlfn.XLOOKUP($A27,Player_Mode_Profile!$A:$A,Player_Mode_Profile!R:R)/(_xlfn.XLOOKUP($A27,Player_Mode_Profile!$A:$A,Player_Mode_Profile!$T:$T)))</f>
        <v>7.1673418510439391E-3</v>
      </c>
      <c r="J27" s="14">
        <f>(_xlfn.XLOOKUP($A27,Player_Mode_Profile!$A:$A,Player_Mode_Profile!S:S)/(_xlfn.XLOOKUP($A27,Player_Mode_Profile!$A:$A,Player_Mode_Profile!$T:$T)))</f>
        <v>4.6120286693674045E-2</v>
      </c>
    </row>
    <row r="28" spans="1:10" x14ac:dyDescent="0.25">
      <c r="A28" t="str">
        <f>Player_Mode_Profile!A28</f>
        <v>Morthylia</v>
      </c>
      <c r="B28">
        <v>267</v>
      </c>
      <c r="C28" s="13">
        <f>Player_Class_Profile!D28/Player_Class_Profile!H28</f>
        <v>1.0610079575596816E-2</v>
      </c>
      <c r="D28" s="10">
        <f>Player_Class_Profile!E28/Player_Class_Profile!H28</f>
        <v>0.1883289124668435</v>
      </c>
      <c r="E28" s="10">
        <f>Player_Class_Profile!F28/Player_Class_Profile!H28</f>
        <v>0.28116710875331563</v>
      </c>
      <c r="F28" s="10">
        <f>Player_Class_Profile!G28/Player_Class_Profile!H28</f>
        <v>0.519893899204244</v>
      </c>
      <c r="G28" s="13">
        <f>(_xlfn.XLOOKUP($A28,Player_Mode_Profile!$A:$A,Player_Mode_Profile!P:P)/(_xlfn.XLOOKUP($A28,Player_Mode_Profile!$A:$A,Player_Mode_Profile!$T:$T)))</f>
        <v>0.81377151799687009</v>
      </c>
      <c r="H28" s="14">
        <f>(_xlfn.XLOOKUP($A28,Player_Mode_Profile!$A:$A,Player_Mode_Profile!Q:Q)/(_xlfn.XLOOKUP($A28,Player_Mode_Profile!$A:$A,Player_Mode_Profile!$T:$T)))</f>
        <v>0.11476264997391758</v>
      </c>
      <c r="I28" s="14">
        <f>(_xlfn.XLOOKUP($A28,Player_Mode_Profile!$A:$A,Player_Mode_Profile!R:R)/(_xlfn.XLOOKUP($A28,Player_Mode_Profile!$A:$A,Player_Mode_Profile!$T:$T)))</f>
        <v>6.5206051121544081E-2</v>
      </c>
      <c r="J28" s="14">
        <f>(_xlfn.XLOOKUP($A28,Player_Mode_Profile!$A:$A,Player_Mode_Profile!S:S)/(_xlfn.XLOOKUP($A28,Player_Mode_Profile!$A:$A,Player_Mode_Profile!$T:$T)))</f>
        <v>6.2597809076682318E-3</v>
      </c>
    </row>
    <row r="29" spans="1:10" x14ac:dyDescent="0.25">
      <c r="A29" t="str">
        <f>Player_Mode_Profile!A29</f>
        <v>MrTopherB</v>
      </c>
      <c r="B29">
        <v>277</v>
      </c>
      <c r="C29" s="13">
        <f>Player_Class_Profile!D29/Player_Class_Profile!H29</f>
        <v>2.819548872180451E-2</v>
      </c>
      <c r="D29" s="10">
        <f>Player_Class_Profile!E29/Player_Class_Profile!H29</f>
        <v>0.68796992481203012</v>
      </c>
      <c r="E29" s="10">
        <f>Player_Class_Profile!F29/Player_Class_Profile!H29</f>
        <v>0.12218045112781954</v>
      </c>
      <c r="F29" s="10">
        <f>Player_Class_Profile!G29/Player_Class_Profile!H29</f>
        <v>0.16165413533834586</v>
      </c>
      <c r="G29" s="13">
        <f>(_xlfn.XLOOKUP($A29,Player_Mode_Profile!$A:$A,Player_Mode_Profile!P:P)/(_xlfn.XLOOKUP($A29,Player_Mode_Profile!$A:$A,Player_Mode_Profile!$T:$T)))</f>
        <v>0.7444128403088176</v>
      </c>
      <c r="H29" s="14">
        <f>(_xlfn.XLOOKUP($A29,Player_Mode_Profile!$A:$A,Player_Mode_Profile!Q:Q)/(_xlfn.XLOOKUP($A29,Player_Mode_Profile!$A:$A,Player_Mode_Profile!$T:$T)))</f>
        <v>0.24542868752539618</v>
      </c>
      <c r="I29" s="14">
        <f>(_xlfn.XLOOKUP($A29,Player_Mode_Profile!$A:$A,Player_Mode_Profile!R:R)/(_xlfn.XLOOKUP($A29,Player_Mode_Profile!$A:$A,Player_Mode_Profile!$T:$T)))</f>
        <v>9.7521332791548152E-3</v>
      </c>
      <c r="J29" s="14">
        <f>(_xlfn.XLOOKUP($A29,Player_Mode_Profile!$A:$A,Player_Mode_Profile!S:S)/(_xlfn.XLOOKUP($A29,Player_Mode_Profile!$A:$A,Player_Mode_Profile!$T:$T)))</f>
        <v>4.0633888663145062E-4</v>
      </c>
    </row>
    <row r="30" spans="1:10" x14ac:dyDescent="0.25">
      <c r="A30" t="str">
        <f>Player_Mode_Profile!A30</f>
        <v>Notinsanity</v>
      </c>
      <c r="B30">
        <v>287</v>
      </c>
      <c r="C30" s="13">
        <f>Player_Class_Profile!D30/Player_Class_Profile!H30</f>
        <v>4.4354838709677422E-2</v>
      </c>
      <c r="D30" s="10">
        <f>Player_Class_Profile!E30/Player_Class_Profile!H30</f>
        <v>0.21975806451612903</v>
      </c>
      <c r="E30" s="10">
        <f>Player_Class_Profile!F30/Player_Class_Profile!H30</f>
        <v>0.27620967741935482</v>
      </c>
      <c r="F30" s="10">
        <f>Player_Class_Profile!G30/Player_Class_Profile!H30</f>
        <v>0.45967741935483869</v>
      </c>
      <c r="G30" s="13">
        <f>(_xlfn.XLOOKUP($A30,Player_Mode_Profile!$A:$A,Player_Mode_Profile!P:P)/(_xlfn.XLOOKUP($A30,Player_Mode_Profile!$A:$A,Player_Mode_Profile!$T:$T)))</f>
        <v>0.9875735775016351</v>
      </c>
      <c r="H30" s="14">
        <f>(_xlfn.XLOOKUP($A30,Player_Mode_Profile!$A:$A,Player_Mode_Profile!Q:Q)/(_xlfn.XLOOKUP($A30,Player_Mode_Profile!$A:$A,Player_Mode_Profile!$T:$T)))</f>
        <v>8.1752779594506213E-3</v>
      </c>
      <c r="I30" s="14">
        <f>(_xlfn.XLOOKUP($A30,Player_Mode_Profile!$A:$A,Player_Mode_Profile!R:R)/(_xlfn.XLOOKUP($A30,Player_Mode_Profile!$A:$A,Player_Mode_Profile!$T:$T)))</f>
        <v>4.251144538914323E-3</v>
      </c>
      <c r="J30" s="14">
        <f>(_xlfn.XLOOKUP($A30,Player_Mode_Profile!$A:$A,Player_Mode_Profile!S:S)/(_xlfn.XLOOKUP($A30,Player_Mode_Profile!$A:$A,Player_Mode_Profile!$T:$T)))</f>
        <v>0</v>
      </c>
    </row>
    <row r="31" spans="1:10" x14ac:dyDescent="0.25">
      <c r="A31" t="str">
        <f>Player_Mode_Profile!A31</f>
        <v>Republic</v>
      </c>
      <c r="B31">
        <v>297</v>
      </c>
      <c r="C31" s="13">
        <f>Player_Class_Profile!D31/Player_Class_Profile!H31</f>
        <v>0.2132701421800948</v>
      </c>
      <c r="D31" s="10">
        <f>Player_Class_Profile!E31/Player_Class_Profile!H31</f>
        <v>0.45023696682464454</v>
      </c>
      <c r="E31" s="10">
        <f>Player_Class_Profile!F31/Player_Class_Profile!H31</f>
        <v>0.20379146919431279</v>
      </c>
      <c r="F31" s="10">
        <f>Player_Class_Profile!G31/Player_Class_Profile!H31</f>
        <v>0.13270142180094788</v>
      </c>
      <c r="G31" s="13">
        <f>(_xlfn.XLOOKUP($A31,Player_Mode_Profile!$A:$A,Player_Mode_Profile!P:P)/(_xlfn.XLOOKUP($A31,Player_Mode_Profile!$A:$A,Player_Mode_Profile!$T:$T)))</f>
        <v>0.49527598209845847</v>
      </c>
      <c r="H31" s="14">
        <f>(_xlfn.XLOOKUP($A31,Player_Mode_Profile!$A:$A,Player_Mode_Profile!Q:Q)/(_xlfn.XLOOKUP($A31,Player_Mode_Profile!$A:$A,Player_Mode_Profile!$T:$T)))</f>
        <v>0.47339632023868722</v>
      </c>
      <c r="I31" s="14">
        <f>(_xlfn.XLOOKUP($A31,Player_Mode_Profile!$A:$A,Player_Mode_Profile!R:R)/(_xlfn.XLOOKUP($A31,Player_Mode_Profile!$A:$A,Player_Mode_Profile!$T:$T)))</f>
        <v>2.6852312282446545E-2</v>
      </c>
      <c r="J31" s="14">
        <f>(_xlfn.XLOOKUP($A31,Player_Mode_Profile!$A:$A,Player_Mode_Profile!S:S)/(_xlfn.XLOOKUP($A31,Player_Mode_Profile!$A:$A,Player_Mode_Profile!$T:$T)))</f>
        <v>4.4753853804077575E-3</v>
      </c>
    </row>
    <row r="32" spans="1:10" x14ac:dyDescent="0.25">
      <c r="A32" t="str">
        <f>Player_Mode_Profile!A32</f>
        <v>derekcollins123456</v>
      </c>
      <c r="B32">
        <v>307</v>
      </c>
      <c r="C32" s="13">
        <f>Player_Class_Profile!D32/Player_Class_Profile!H32</f>
        <v>0.26521739130434785</v>
      </c>
      <c r="D32" s="10">
        <f>Player_Class_Profile!E32/Player_Class_Profile!H32</f>
        <v>9.3478260869565219E-2</v>
      </c>
      <c r="E32" s="10">
        <f>Player_Class_Profile!F32/Player_Class_Profile!H32</f>
        <v>0.1282608695652174</v>
      </c>
      <c r="F32" s="10">
        <f>Player_Class_Profile!G32/Player_Class_Profile!H32</f>
        <v>0.5130434782608696</v>
      </c>
      <c r="G32" s="13">
        <f>(_xlfn.XLOOKUP($A32,Player_Mode_Profile!$A:$A,Player_Mode_Profile!P:P)/(_xlfn.XLOOKUP($A32,Player_Mode_Profile!$A:$A,Player_Mode_Profile!$T:$T)))</f>
        <v>5.2943861250570518E-2</v>
      </c>
      <c r="H32" s="14">
        <f>(_xlfn.XLOOKUP($A32,Player_Mode_Profile!$A:$A,Player_Mode_Profile!Q:Q)/(_xlfn.XLOOKUP($A32,Player_Mode_Profile!$A:$A,Player_Mode_Profile!$T:$T)))</f>
        <v>4.4272021907804653E-2</v>
      </c>
      <c r="I32" s="14">
        <f>(_xlfn.XLOOKUP($A32,Player_Mode_Profile!$A:$A,Player_Mode_Profile!R:R)/(_xlfn.XLOOKUP($A32,Player_Mode_Profile!$A:$A,Player_Mode_Profile!$T:$T)))</f>
        <v>0.87220447284345048</v>
      </c>
      <c r="J32" s="14">
        <f>(_xlfn.XLOOKUP($A32,Player_Mode_Profile!$A:$A,Player_Mode_Profile!S:S)/(_xlfn.XLOOKUP($A32,Player_Mode_Profile!$A:$A,Player_Mode_Profile!$T:$T)))</f>
        <v>3.0579643998174349E-2</v>
      </c>
    </row>
    <row r="33" spans="1:10" x14ac:dyDescent="0.25">
      <c r="A33" t="str">
        <f>Player_Mode_Profile!A33</f>
        <v>Beserker_khan</v>
      </c>
      <c r="B33">
        <v>317</v>
      </c>
      <c r="C33" s="13">
        <f>Player_Class_Profile!D33/Player_Class_Profile!H33</f>
        <v>0.19015659955257272</v>
      </c>
      <c r="D33" s="10">
        <f>Player_Class_Profile!E33/Player_Class_Profile!H33</f>
        <v>0.5592841163310962</v>
      </c>
      <c r="E33" s="10">
        <f>Player_Class_Profile!F33/Player_Class_Profile!H33</f>
        <v>5.5928411633109618E-2</v>
      </c>
      <c r="F33" s="10">
        <f>Player_Class_Profile!G33/Player_Class_Profile!H33</f>
        <v>0.19463087248322147</v>
      </c>
      <c r="G33" s="13">
        <f>(_xlfn.XLOOKUP($A33,Player_Mode_Profile!$A:$A,Player_Mode_Profile!P:P)/(_xlfn.XLOOKUP($A33,Player_Mode_Profile!$A:$A,Player_Mode_Profile!$T:$T)))</f>
        <v>0.31369488880218493</v>
      </c>
      <c r="H33" s="14">
        <f>(_xlfn.XLOOKUP($A33,Player_Mode_Profile!$A:$A,Player_Mode_Profile!Q:Q)/(_xlfn.XLOOKUP($A33,Player_Mode_Profile!$A:$A,Player_Mode_Profile!$T:$T)))</f>
        <v>0.4978540772532189</v>
      </c>
      <c r="I33" s="14">
        <f>(_xlfn.XLOOKUP($A33,Player_Mode_Profile!$A:$A,Player_Mode_Profile!R:R)/(_xlfn.XLOOKUP($A33,Player_Mode_Profile!$A:$A,Player_Mode_Profile!$T:$T)))</f>
        <v>4.3308622707764338E-2</v>
      </c>
      <c r="J33" s="14">
        <f>(_xlfn.XLOOKUP($A33,Player_Mode_Profile!$A:$A,Player_Mode_Profile!S:S)/(_xlfn.XLOOKUP($A33,Player_Mode_Profile!$A:$A,Player_Mode_Profile!$T:$T)))</f>
        <v>0.14514241123683183</v>
      </c>
    </row>
    <row r="34" spans="1:10" x14ac:dyDescent="0.25">
      <c r="A34" t="str">
        <f>Player_Mode_Profile!A34</f>
        <v>PDisPro</v>
      </c>
      <c r="B34">
        <v>327</v>
      </c>
      <c r="C34" s="13">
        <f>Player_Class_Profile!D34/Player_Class_Profile!H34</f>
        <v>9.6899224806201549E-3</v>
      </c>
      <c r="D34" s="10">
        <f>Player_Class_Profile!E34/Player_Class_Profile!H34</f>
        <v>7.7519379844961239E-3</v>
      </c>
      <c r="E34" s="10">
        <f>Player_Class_Profile!F34/Player_Class_Profile!H34</f>
        <v>9.6899224806201549E-3</v>
      </c>
      <c r="F34" s="10">
        <f>Player_Class_Profile!G34/Player_Class_Profile!H34</f>
        <v>0.97286821705426352</v>
      </c>
      <c r="G34" s="13">
        <f>(_xlfn.XLOOKUP($A34,Player_Mode_Profile!$A:$A,Player_Mode_Profile!P:P)/(_xlfn.XLOOKUP($A34,Player_Mode_Profile!$A:$A,Player_Mode_Profile!$T:$T)))</f>
        <v>0.97300990775538099</v>
      </c>
      <c r="H34" s="14">
        <f>(_xlfn.XLOOKUP($A34,Player_Mode_Profile!$A:$A,Player_Mode_Profile!Q:Q)/(_xlfn.XLOOKUP($A34,Player_Mode_Profile!$A:$A,Player_Mode_Profile!$T:$T)))</f>
        <v>1.5032456440040998E-2</v>
      </c>
      <c r="I34" s="14">
        <f>(_xlfn.XLOOKUP($A34,Player_Mode_Profile!$A:$A,Player_Mode_Profile!R:R)/(_xlfn.XLOOKUP($A34,Player_Mode_Profile!$A:$A,Player_Mode_Profile!$T:$T)))</f>
        <v>9.2244619063887937E-3</v>
      </c>
      <c r="J34" s="14">
        <f>(_xlfn.XLOOKUP($A34,Player_Mode_Profile!$A:$A,Player_Mode_Profile!S:S)/(_xlfn.XLOOKUP($A34,Player_Mode_Profile!$A:$A,Player_Mode_Profile!$T:$T)))</f>
        <v>2.7331738981892723E-3</v>
      </c>
    </row>
    <row r="35" spans="1:10" x14ac:dyDescent="0.25">
      <c r="A35" t="str">
        <f>Player_Mode_Profile!A35</f>
        <v>ARMENIA</v>
      </c>
      <c r="B35">
        <v>337</v>
      </c>
      <c r="C35" s="13">
        <f>Player_Class_Profile!D35/Player_Class_Profile!H35</f>
        <v>0.14189189189189189</v>
      </c>
      <c r="D35" s="10">
        <f>Player_Class_Profile!E35/Player_Class_Profile!H35</f>
        <v>0.70945945945945943</v>
      </c>
      <c r="E35" s="10">
        <f>Player_Class_Profile!F35/Player_Class_Profile!H35</f>
        <v>8.1081081081081086E-2</v>
      </c>
      <c r="F35" s="10">
        <f>Player_Class_Profile!G35/Player_Class_Profile!H35</f>
        <v>6.7567567567567571E-2</v>
      </c>
      <c r="G35" s="13">
        <f>(_xlfn.XLOOKUP($A35,Player_Mode_Profile!$A:$A,Player_Mode_Profile!P:P)/(_xlfn.XLOOKUP($A35,Player_Mode_Profile!$A:$A,Player_Mode_Profile!$T:$T)))</f>
        <v>0.7904050334250885</v>
      </c>
      <c r="H35" s="14">
        <f>(_xlfn.XLOOKUP($A35,Player_Mode_Profile!$A:$A,Player_Mode_Profile!Q:Q)/(_xlfn.XLOOKUP($A35,Player_Mode_Profile!$A:$A,Player_Mode_Profile!$T:$T)))</f>
        <v>0.14628391663389698</v>
      </c>
      <c r="I35" s="14">
        <f>(_xlfn.XLOOKUP($A35,Player_Mode_Profile!$A:$A,Player_Mode_Profile!R:R)/(_xlfn.XLOOKUP($A35,Player_Mode_Profile!$A:$A,Player_Mode_Profile!$T:$T)))</f>
        <v>6.3311049941014552E-2</v>
      </c>
      <c r="J35" s="14">
        <f>(_xlfn.XLOOKUP($A35,Player_Mode_Profile!$A:$A,Player_Mode_Profile!S:S)/(_xlfn.XLOOKUP($A35,Player_Mode_Profile!$A:$A,Player_Mode_Profile!$T:$T)))</f>
        <v>0</v>
      </c>
    </row>
    <row r="36" spans="1:10" x14ac:dyDescent="0.25">
      <c r="A36" t="str">
        <f>Player_Mode_Profile!A36</f>
        <v>Netl</v>
      </c>
      <c r="B36">
        <v>347</v>
      </c>
      <c r="C36" s="13">
        <f>Player_Class_Profile!D36/Player_Class_Profile!H36</f>
        <v>0.17609046849757673</v>
      </c>
      <c r="D36" s="10">
        <f>Player_Class_Profile!E36/Player_Class_Profile!H36</f>
        <v>0.22617124394184168</v>
      </c>
      <c r="E36" s="10">
        <f>Player_Class_Profile!F36/Player_Class_Profile!H36</f>
        <v>0.54281098546042006</v>
      </c>
      <c r="F36" s="10">
        <f>Player_Class_Profile!G36/Player_Class_Profile!H36</f>
        <v>5.492730210016155E-2</v>
      </c>
      <c r="G36" s="13">
        <f>(_xlfn.XLOOKUP($A36,Player_Mode_Profile!$A:$A,Player_Mode_Profile!P:P)/(_xlfn.XLOOKUP($A36,Player_Mode_Profile!$A:$A,Player_Mode_Profile!$T:$T)))</f>
        <v>0.18736988202637059</v>
      </c>
      <c r="H36" s="14">
        <f>(_xlfn.XLOOKUP($A36,Player_Mode_Profile!$A:$A,Player_Mode_Profile!Q:Q)/(_xlfn.XLOOKUP($A36,Player_Mode_Profile!$A:$A,Player_Mode_Profile!$T:$T)))</f>
        <v>0.13879250520471895</v>
      </c>
      <c r="I36" s="14">
        <f>(_xlfn.XLOOKUP($A36,Player_Mode_Profile!$A:$A,Player_Mode_Profile!R:R)/(_xlfn.XLOOKUP($A36,Player_Mode_Profile!$A:$A,Player_Mode_Profile!$T:$T)))</f>
        <v>0.157529493407356</v>
      </c>
      <c r="J36" s="14">
        <f>(_xlfn.XLOOKUP($A36,Player_Mode_Profile!$A:$A,Player_Mode_Profile!S:S)/(_xlfn.XLOOKUP($A36,Player_Mode_Profile!$A:$A,Player_Mode_Profile!$T:$T)))</f>
        <v>0.51630811936155452</v>
      </c>
    </row>
    <row r="37" spans="1:10" x14ac:dyDescent="0.25">
      <c r="A37" t="str">
        <f>Player_Mode_Profile!A37</f>
        <v>FridaySV</v>
      </c>
      <c r="B37">
        <v>357</v>
      </c>
      <c r="C37" s="13">
        <f>Player_Class_Profile!D37/Player_Class_Profile!H37</f>
        <v>0.41666666666666669</v>
      </c>
      <c r="D37" s="10">
        <f>Player_Class_Profile!E37/Player_Class_Profile!H37</f>
        <v>0.21794871794871795</v>
      </c>
      <c r="E37" s="10">
        <f>Player_Class_Profile!F37/Player_Class_Profile!H37</f>
        <v>0.20512820512820512</v>
      </c>
      <c r="F37" s="10">
        <f>Player_Class_Profile!G37/Player_Class_Profile!H37</f>
        <v>0.16025641025641027</v>
      </c>
      <c r="G37" s="13">
        <f>(_xlfn.XLOOKUP($A37,Player_Mode_Profile!$A:$A,Player_Mode_Profile!P:P)/(_xlfn.XLOOKUP($A37,Player_Mode_Profile!$A:$A,Player_Mode_Profile!$T:$T)))</f>
        <v>0.43523316062176165</v>
      </c>
      <c r="H37" s="14">
        <f>(_xlfn.XLOOKUP($A37,Player_Mode_Profile!$A:$A,Player_Mode_Profile!Q:Q)/(_xlfn.XLOOKUP($A37,Player_Mode_Profile!$A:$A,Player_Mode_Profile!$T:$T)))</f>
        <v>0.22625215889464595</v>
      </c>
      <c r="I37" s="14">
        <f>(_xlfn.XLOOKUP($A37,Player_Mode_Profile!$A:$A,Player_Mode_Profile!R:R)/(_xlfn.XLOOKUP($A37,Player_Mode_Profile!$A:$A,Player_Mode_Profile!$T:$T)))</f>
        <v>0.33678756476683935</v>
      </c>
      <c r="J37" s="14">
        <f>(_xlfn.XLOOKUP($A37,Player_Mode_Profile!$A:$A,Player_Mode_Profile!S:S)/(_xlfn.XLOOKUP($A37,Player_Mode_Profile!$A:$A,Player_Mode_Profile!$T:$T)))</f>
        <v>1.7271157167530224E-3</v>
      </c>
    </row>
    <row r="38" spans="1:10" x14ac:dyDescent="0.25">
      <c r="A38" t="str">
        <f>Player_Mode_Profile!A38</f>
        <v>Polishman22</v>
      </c>
      <c r="B38">
        <v>367</v>
      </c>
      <c r="C38" s="13">
        <f>Player_Class_Profile!D38/Player_Class_Profile!H38</f>
        <v>0.3181019332161687</v>
      </c>
      <c r="D38" s="10">
        <f>Player_Class_Profile!E38/Player_Class_Profile!H38</f>
        <v>0.24077328646748683</v>
      </c>
      <c r="E38" s="10">
        <f>Player_Class_Profile!F38/Player_Class_Profile!H38</f>
        <v>0.13181019332161686</v>
      </c>
      <c r="F38" s="10">
        <f>Player_Class_Profile!G38/Player_Class_Profile!H38</f>
        <v>0.12829525483304041</v>
      </c>
      <c r="G38" s="13">
        <f>(_xlfn.XLOOKUP($A38,Player_Mode_Profile!$A:$A,Player_Mode_Profile!P:P)/(_xlfn.XLOOKUP($A38,Player_Mode_Profile!$A:$A,Player_Mode_Profile!$T:$T)))</f>
        <v>0.32392817882008063</v>
      </c>
      <c r="H38" s="14">
        <f>(_xlfn.XLOOKUP($A38,Player_Mode_Profile!$A:$A,Player_Mode_Profile!Q:Q)/(_xlfn.XLOOKUP($A38,Player_Mode_Profile!$A:$A,Player_Mode_Profile!$T:$T)))</f>
        <v>0.27262733602052036</v>
      </c>
      <c r="I38" s="14">
        <f>(_xlfn.XLOOKUP($A38,Player_Mode_Profile!$A:$A,Player_Mode_Profile!R:R)/(_xlfn.XLOOKUP($A38,Player_Mode_Profile!$A:$A,Player_Mode_Profile!$T:$T)))</f>
        <v>0.28325393917185782</v>
      </c>
      <c r="J38" s="14">
        <f>(_xlfn.XLOOKUP($A38,Player_Mode_Profile!$A:$A,Player_Mode_Profile!S:S)/(_xlfn.XLOOKUP($A38,Player_Mode_Profile!$A:$A,Player_Mode_Profile!$T:$T)))</f>
        <v>0.12019054598754123</v>
      </c>
    </row>
    <row r="39" spans="1:10" x14ac:dyDescent="0.25">
      <c r="A39" t="str">
        <f>Player_Mode_Profile!A39</f>
        <v>SuperPikasso</v>
      </c>
      <c r="B39">
        <v>377</v>
      </c>
      <c r="C39" s="13">
        <f>Player_Class_Profile!D39/Player_Class_Profile!H39</f>
        <v>0.18453427065026362</v>
      </c>
      <c r="D39" s="10">
        <f>Player_Class_Profile!E39/Player_Class_Profile!H39</f>
        <v>0.30404217926186294</v>
      </c>
      <c r="E39" s="10">
        <f>Player_Class_Profile!F39/Player_Class_Profile!H39</f>
        <v>0.21265377855887521</v>
      </c>
      <c r="F39" s="10">
        <f>Player_Class_Profile!G39/Player_Class_Profile!H39</f>
        <v>0.29876977152899825</v>
      </c>
      <c r="G39" s="13">
        <f>(_xlfn.XLOOKUP($A39,Player_Mode_Profile!$A:$A,Player_Mode_Profile!P:P)/(_xlfn.XLOOKUP($A39,Player_Mode_Profile!$A:$A,Player_Mode_Profile!$T:$T)))</f>
        <v>0.62133333333333329</v>
      </c>
      <c r="H39" s="14">
        <f>(_xlfn.XLOOKUP($A39,Player_Mode_Profile!$A:$A,Player_Mode_Profile!Q:Q)/(_xlfn.XLOOKUP($A39,Player_Mode_Profile!$A:$A,Player_Mode_Profile!$T:$T)))</f>
        <v>0.25133333333333335</v>
      </c>
      <c r="I39" s="14">
        <f>(_xlfn.XLOOKUP($A39,Player_Mode_Profile!$A:$A,Player_Mode_Profile!R:R)/(_xlfn.XLOOKUP($A39,Player_Mode_Profile!$A:$A,Player_Mode_Profile!$T:$T)))</f>
        <v>0.12633333333333333</v>
      </c>
      <c r="J39" s="14">
        <f>(_xlfn.XLOOKUP($A39,Player_Mode_Profile!$A:$A,Player_Mode_Profile!S:S)/(_xlfn.XLOOKUP($A39,Player_Mode_Profile!$A:$A,Player_Mode_Profile!$T:$T)))</f>
        <v>1E-3</v>
      </c>
    </row>
    <row r="40" spans="1:10" x14ac:dyDescent="0.25">
      <c r="A40" t="str">
        <f>Player_Mode_Profile!A40</f>
        <v>Olegich_999</v>
      </c>
      <c r="B40">
        <v>387</v>
      </c>
      <c r="C40" s="13">
        <f>Player_Class_Profile!D40/Player_Class_Profile!H40</f>
        <v>0.27984344422700586</v>
      </c>
      <c r="D40" s="10">
        <f>Player_Class_Profile!E40/Player_Class_Profile!H40</f>
        <v>0.33659491193737767</v>
      </c>
      <c r="E40" s="10">
        <f>Player_Class_Profile!F40/Player_Class_Profile!H40</f>
        <v>0.15264187866927592</v>
      </c>
      <c r="F40" s="10">
        <f>Player_Class_Profile!G40/Player_Class_Profile!H40</f>
        <v>0.2309197651663405</v>
      </c>
      <c r="G40" s="13">
        <f>(_xlfn.XLOOKUP($A40,Player_Mode_Profile!$A:$A,Player_Mode_Profile!P:P)/(_xlfn.XLOOKUP($A40,Player_Mode_Profile!$A:$A,Player_Mode_Profile!$T:$T)))</f>
        <v>0.25614927905004242</v>
      </c>
      <c r="H40" s="14">
        <f>(_xlfn.XLOOKUP($A40,Player_Mode_Profile!$A:$A,Player_Mode_Profile!Q:Q)/(_xlfn.XLOOKUP($A40,Player_Mode_Profile!$A:$A,Player_Mode_Profile!$T:$T)))</f>
        <v>0.10008481764206956</v>
      </c>
      <c r="I40" s="14">
        <f>(_xlfn.XLOOKUP($A40,Player_Mode_Profile!$A:$A,Player_Mode_Profile!R:R)/(_xlfn.XLOOKUP($A40,Player_Mode_Profile!$A:$A,Player_Mode_Profile!$T:$T)))</f>
        <v>0.36895674300254455</v>
      </c>
      <c r="J40" s="14">
        <f>(_xlfn.XLOOKUP($A40,Player_Mode_Profile!$A:$A,Player_Mode_Profile!S:S)/(_xlfn.XLOOKUP($A40,Player_Mode_Profile!$A:$A,Player_Mode_Profile!$T:$T)))</f>
        <v>0.27480916030534353</v>
      </c>
    </row>
    <row r="41" spans="1:10" x14ac:dyDescent="0.25">
      <c r="A41" t="str">
        <f>Player_Mode_Profile!A41</f>
        <v>VITARTA</v>
      </c>
      <c r="B41">
        <v>397</v>
      </c>
      <c r="C41" s="13">
        <f>Player_Class_Profile!D41/Player_Class_Profile!H41</f>
        <v>3.1630170316301706E-2</v>
      </c>
      <c r="D41" s="10">
        <f>Player_Class_Profile!E41/Player_Class_Profile!H41</f>
        <v>6.0827250608272508E-2</v>
      </c>
      <c r="E41" s="10">
        <f>Player_Class_Profile!F41/Player_Class_Profile!H41</f>
        <v>0.84914841849148415</v>
      </c>
      <c r="F41" s="10">
        <f>Player_Class_Profile!G41/Player_Class_Profile!H41</f>
        <v>5.8394160583941604E-2</v>
      </c>
      <c r="G41" s="13">
        <f>(_xlfn.XLOOKUP($A41,Player_Mode_Profile!$A:$A,Player_Mode_Profile!P:P)/(_xlfn.XLOOKUP($A41,Player_Mode_Profile!$A:$A,Player_Mode_Profile!$T:$T)))</f>
        <v>0.3667164922770304</v>
      </c>
      <c r="H41" s="14">
        <f>(_xlfn.XLOOKUP($A41,Player_Mode_Profile!$A:$A,Player_Mode_Profile!Q:Q)/(_xlfn.XLOOKUP($A41,Player_Mode_Profile!$A:$A,Player_Mode_Profile!$T:$T)))</f>
        <v>0.16243148978574987</v>
      </c>
      <c r="I41" s="14">
        <f>(_xlfn.XLOOKUP($A41,Player_Mode_Profile!$A:$A,Player_Mode_Profile!R:R)/(_xlfn.XLOOKUP($A41,Player_Mode_Profile!$A:$A,Player_Mode_Profile!$T:$T)))</f>
        <v>0.46138515196811158</v>
      </c>
      <c r="J41" s="14">
        <f>(_xlfn.XLOOKUP($A41,Player_Mode_Profile!$A:$A,Player_Mode_Profile!S:S)/(_xlfn.XLOOKUP($A41,Player_Mode_Profile!$A:$A,Player_Mode_Profile!$T:$T)))</f>
        <v>9.4668659691081215E-3</v>
      </c>
    </row>
    <row r="42" spans="1:10" x14ac:dyDescent="0.25">
      <c r="A42" t="str">
        <f>Player_Mode_Profile!A42</f>
        <v>Puddy</v>
      </c>
      <c r="B42">
        <v>407</v>
      </c>
      <c r="C42" s="13">
        <f>Player_Class_Profile!D42/Player_Class_Profile!H42</f>
        <v>0.28723404255319152</v>
      </c>
      <c r="D42" s="10">
        <f>Player_Class_Profile!E42/Player_Class_Profile!H42</f>
        <v>0.46010638297872342</v>
      </c>
      <c r="E42" s="10">
        <f>Player_Class_Profile!F42/Player_Class_Profile!H42</f>
        <v>6.9148936170212769E-2</v>
      </c>
      <c r="F42" s="10">
        <f>Player_Class_Profile!G42/Player_Class_Profile!H42</f>
        <v>0.18351063829787234</v>
      </c>
      <c r="G42" s="13">
        <f>(_xlfn.XLOOKUP($A42,Player_Mode_Profile!$A:$A,Player_Mode_Profile!P:P)/(_xlfn.XLOOKUP($A42,Player_Mode_Profile!$A:$A,Player_Mode_Profile!$T:$T)))</f>
        <v>0.51157894736842102</v>
      </c>
      <c r="H42" s="14">
        <f>(_xlfn.XLOOKUP($A42,Player_Mode_Profile!$A:$A,Player_Mode_Profile!Q:Q)/(_xlfn.XLOOKUP($A42,Player_Mode_Profile!$A:$A,Player_Mode_Profile!$T:$T)))</f>
        <v>0.45052631578947366</v>
      </c>
      <c r="I42" s="14">
        <f>(_xlfn.XLOOKUP($A42,Player_Mode_Profile!$A:$A,Player_Mode_Profile!R:R)/(_xlfn.XLOOKUP($A42,Player_Mode_Profile!$A:$A,Player_Mode_Profile!$T:$T)))</f>
        <v>3.7368421052631579E-2</v>
      </c>
      <c r="J42" s="14">
        <f>(_xlfn.XLOOKUP($A42,Player_Mode_Profile!$A:$A,Player_Mode_Profile!S:S)/(_xlfn.XLOOKUP($A42,Player_Mode_Profile!$A:$A,Player_Mode_Profile!$T:$T)))</f>
        <v>5.263157894736842E-4</v>
      </c>
    </row>
    <row r="43" spans="1:10" x14ac:dyDescent="0.25">
      <c r="A43" t="str">
        <f>Player_Mode_Profile!A43</f>
        <v>LtFrankDrebiin</v>
      </c>
      <c r="B43">
        <v>417</v>
      </c>
      <c r="C43" s="13">
        <f>Player_Class_Profile!D43/Player_Class_Profile!H43</f>
        <v>0.21647058823529411</v>
      </c>
      <c r="D43" s="10">
        <f>Player_Class_Profile!E43/Player_Class_Profile!H43</f>
        <v>0.30352941176470588</v>
      </c>
      <c r="E43" s="10">
        <f>Player_Class_Profile!F43/Player_Class_Profile!H43</f>
        <v>0.10588235294117647</v>
      </c>
      <c r="F43" s="10">
        <f>Player_Class_Profile!G43/Player_Class_Profile!H43</f>
        <v>0.37411764705882355</v>
      </c>
      <c r="G43" s="13">
        <f>(_xlfn.XLOOKUP($A43,Player_Mode_Profile!$A:$A,Player_Mode_Profile!P:P)/(_xlfn.XLOOKUP($A43,Player_Mode_Profile!$A:$A,Player_Mode_Profile!$T:$T)))</f>
        <v>0.66412213740458015</v>
      </c>
      <c r="H43" s="14">
        <f>(_xlfn.XLOOKUP($A43,Player_Mode_Profile!$A:$A,Player_Mode_Profile!Q:Q)/(_xlfn.XLOOKUP($A43,Player_Mode_Profile!$A:$A,Player_Mode_Profile!$T:$T)))</f>
        <v>6.7748091603053437E-2</v>
      </c>
      <c r="I43" s="14">
        <f>(_xlfn.XLOOKUP($A43,Player_Mode_Profile!$A:$A,Player_Mode_Profile!R:R)/(_xlfn.XLOOKUP($A43,Player_Mode_Profile!$A:$A,Player_Mode_Profile!$T:$T)))</f>
        <v>0.19513358778625955</v>
      </c>
      <c r="J43" s="14">
        <f>(_xlfn.XLOOKUP($A43,Player_Mode_Profile!$A:$A,Player_Mode_Profile!S:S)/(_xlfn.XLOOKUP($A43,Player_Mode_Profile!$A:$A,Player_Mode_Profile!$T:$T)))</f>
        <v>7.2996183206106874E-2</v>
      </c>
    </row>
    <row r="44" spans="1:10" x14ac:dyDescent="0.25">
      <c r="A44" t="str">
        <f>Player_Mode_Profile!A44</f>
        <v>Ambrokinarrow</v>
      </c>
      <c r="B44">
        <v>427</v>
      </c>
      <c r="C44" s="13">
        <f>Player_Class_Profile!D44/Player_Class_Profile!H44</f>
        <v>5.9829059829059832E-2</v>
      </c>
      <c r="D44" s="10">
        <f>Player_Class_Profile!E44/Player_Class_Profile!H44</f>
        <v>6.4102564102564097E-2</v>
      </c>
      <c r="E44" s="10">
        <f>Player_Class_Profile!F44/Player_Class_Profile!H44</f>
        <v>0.11965811965811966</v>
      </c>
      <c r="F44" s="10">
        <f>Player_Class_Profile!G44/Player_Class_Profile!H44</f>
        <v>0.75641025641025639</v>
      </c>
      <c r="G44" s="13">
        <f>(_xlfn.XLOOKUP($A44,Player_Mode_Profile!$A:$A,Player_Mode_Profile!P:P)/(_xlfn.XLOOKUP($A44,Player_Mode_Profile!$A:$A,Player_Mode_Profile!$T:$T)))</f>
        <v>0.20125293657008614</v>
      </c>
      <c r="H44" s="14">
        <f>(_xlfn.XLOOKUP($A44,Player_Mode_Profile!$A:$A,Player_Mode_Profile!Q:Q)/(_xlfn.XLOOKUP($A44,Player_Mode_Profile!$A:$A,Player_Mode_Profile!$T:$T)))</f>
        <v>0.18715740015661708</v>
      </c>
      <c r="I44" s="14">
        <f>(_xlfn.XLOOKUP($A44,Player_Mode_Profile!$A:$A,Player_Mode_Profile!R:R)/(_xlfn.XLOOKUP($A44,Player_Mode_Profile!$A:$A,Player_Mode_Profile!$T:$T)))</f>
        <v>0.61158966327329678</v>
      </c>
      <c r="J44" s="14">
        <f>(_xlfn.XLOOKUP($A44,Player_Mode_Profile!$A:$A,Player_Mode_Profile!S:S)/(_xlfn.XLOOKUP($A44,Player_Mode_Profile!$A:$A,Player_Mode_Profile!$T:$T)))</f>
        <v>0</v>
      </c>
    </row>
    <row r="45" spans="1:10" x14ac:dyDescent="0.25">
      <c r="A45" t="str">
        <f>Player_Mode_Profile!A45</f>
        <v>heroic_her0ooo</v>
      </c>
      <c r="B45">
        <v>437</v>
      </c>
      <c r="C45" s="13">
        <f>Player_Class_Profile!D45/Player_Class_Profile!H45</f>
        <v>0.11458333333333333</v>
      </c>
      <c r="D45" s="10">
        <f>Player_Class_Profile!E45/Player_Class_Profile!H45</f>
        <v>8.5416666666666669E-2</v>
      </c>
      <c r="E45" s="10">
        <f>Player_Class_Profile!F45/Player_Class_Profile!H45</f>
        <v>0.22916666666666666</v>
      </c>
      <c r="F45" s="10">
        <f>Player_Class_Profile!G45/Player_Class_Profile!H45</f>
        <v>0.5708333333333333</v>
      </c>
      <c r="G45" s="13">
        <f>(_xlfn.XLOOKUP($A45,Player_Mode_Profile!$A:$A,Player_Mode_Profile!P:P)/(_xlfn.XLOOKUP($A45,Player_Mode_Profile!$A:$A,Player_Mode_Profile!$T:$T)))</f>
        <v>0.42371541501976284</v>
      </c>
      <c r="H45" s="14">
        <f>(_xlfn.XLOOKUP($A45,Player_Mode_Profile!$A:$A,Player_Mode_Profile!Q:Q)/(_xlfn.XLOOKUP($A45,Player_Mode_Profile!$A:$A,Player_Mode_Profile!$T:$T)))</f>
        <v>0.51778656126482214</v>
      </c>
      <c r="I45" s="14">
        <f>(_xlfn.XLOOKUP($A45,Player_Mode_Profile!$A:$A,Player_Mode_Profile!R:R)/(_xlfn.XLOOKUP($A45,Player_Mode_Profile!$A:$A,Player_Mode_Profile!$T:$T)))</f>
        <v>3.5573122529644272E-2</v>
      </c>
      <c r="J45" s="14">
        <f>(_xlfn.XLOOKUP($A45,Player_Mode_Profile!$A:$A,Player_Mode_Profile!S:S)/(_xlfn.XLOOKUP($A45,Player_Mode_Profile!$A:$A,Player_Mode_Profile!$T:$T)))</f>
        <v>2.292490118577075E-2</v>
      </c>
    </row>
    <row r="46" spans="1:10" x14ac:dyDescent="0.25">
      <c r="A46" t="str">
        <f>Player_Mode_Profile!A46</f>
        <v>MICHEL_Bagual</v>
      </c>
      <c r="B46">
        <v>447</v>
      </c>
      <c r="C46" s="13">
        <f>Player_Class_Profile!D46/Player_Class_Profile!H46</f>
        <v>0.39655172413793105</v>
      </c>
      <c r="D46" s="10">
        <f>Player_Class_Profile!E46/Player_Class_Profile!H46</f>
        <v>0.16379310344827586</v>
      </c>
      <c r="E46" s="10">
        <f>Player_Class_Profile!F46/Player_Class_Profile!H46</f>
        <v>7.5431034482758619E-2</v>
      </c>
      <c r="F46" s="10">
        <f>Player_Class_Profile!G46/Player_Class_Profile!H46</f>
        <v>0.36422413793103448</v>
      </c>
      <c r="G46" s="13">
        <f>(_xlfn.XLOOKUP($A46,Player_Mode_Profile!$A:$A,Player_Mode_Profile!P:P)/(_xlfn.XLOOKUP($A46,Player_Mode_Profile!$A:$A,Player_Mode_Profile!$T:$T)))</f>
        <v>5.7432432432432436E-2</v>
      </c>
      <c r="H46" s="14">
        <f>(_xlfn.XLOOKUP($A46,Player_Mode_Profile!$A:$A,Player_Mode_Profile!Q:Q)/(_xlfn.XLOOKUP($A46,Player_Mode_Profile!$A:$A,Player_Mode_Profile!$T:$T)))</f>
        <v>0.16427364864864866</v>
      </c>
      <c r="I46" s="14">
        <f>(_xlfn.XLOOKUP($A46,Player_Mode_Profile!$A:$A,Player_Mode_Profile!R:R)/(_xlfn.XLOOKUP($A46,Player_Mode_Profile!$A:$A,Player_Mode_Profile!$T:$T)))</f>
        <v>0.60430743243243246</v>
      </c>
      <c r="J46" s="14">
        <f>(_xlfn.XLOOKUP($A46,Player_Mode_Profile!$A:$A,Player_Mode_Profile!S:S)/(_xlfn.XLOOKUP($A46,Player_Mode_Profile!$A:$A,Player_Mode_Profile!$T:$T)))</f>
        <v>0.17398648648648649</v>
      </c>
    </row>
    <row r="47" spans="1:10" x14ac:dyDescent="0.25">
      <c r="A47" t="str">
        <f>Player_Mode_Profile!A47</f>
        <v>DenisRezh</v>
      </c>
      <c r="B47">
        <v>457</v>
      </c>
      <c r="C47" s="13">
        <f>Player_Class_Profile!D47/Player_Class_Profile!H47</f>
        <v>0.26819923371647508</v>
      </c>
      <c r="D47" s="10">
        <f>Player_Class_Profile!E47/Player_Class_Profile!H47</f>
        <v>0.25287356321839083</v>
      </c>
      <c r="E47" s="10">
        <f>Player_Class_Profile!F47/Player_Class_Profile!H47</f>
        <v>0.20817369093231161</v>
      </c>
      <c r="F47" s="10">
        <f>Player_Class_Profile!G47/Player_Class_Profile!H47</f>
        <v>0.2707535121328225</v>
      </c>
      <c r="G47" s="13">
        <f>(_xlfn.XLOOKUP($A47,Player_Mode_Profile!$A:$A,Player_Mode_Profile!P:P)/(_xlfn.XLOOKUP($A47,Player_Mode_Profile!$A:$A,Player_Mode_Profile!$T:$T)))</f>
        <v>0.93906810035842292</v>
      </c>
      <c r="H47" s="14">
        <f>(_xlfn.XLOOKUP($A47,Player_Mode_Profile!$A:$A,Player_Mode_Profile!Q:Q)/(_xlfn.XLOOKUP($A47,Player_Mode_Profile!$A:$A,Player_Mode_Profile!$T:$T)))</f>
        <v>1.7409114183307733E-2</v>
      </c>
      <c r="I47" s="14">
        <f>(_xlfn.XLOOKUP($A47,Player_Mode_Profile!$A:$A,Player_Mode_Profile!R:R)/(_xlfn.XLOOKUP($A47,Player_Mode_Profile!$A:$A,Player_Mode_Profile!$T:$T)))</f>
        <v>3.6610343061955965E-2</v>
      </c>
      <c r="J47" s="14">
        <f>(_xlfn.XLOOKUP($A47,Player_Mode_Profile!$A:$A,Player_Mode_Profile!S:S)/(_xlfn.XLOOKUP($A47,Player_Mode_Profile!$A:$A,Player_Mode_Profile!$T:$T)))</f>
        <v>6.9124423963133645E-3</v>
      </c>
    </row>
    <row r="48" spans="1:10" x14ac:dyDescent="0.25">
      <c r="A48" t="str">
        <f>Player_Mode_Profile!A48</f>
        <v>清蒸哈基米</v>
      </c>
      <c r="B48">
        <v>467</v>
      </c>
      <c r="C48" s="13">
        <f>Player_Class_Profile!D48/Player_Class_Profile!H48</f>
        <v>0.80612244897959184</v>
      </c>
      <c r="D48" s="10">
        <f>Player_Class_Profile!E48/Player_Class_Profile!H48</f>
        <v>1.5306122448979591E-2</v>
      </c>
      <c r="E48" s="10">
        <f>Player_Class_Profile!F48/Player_Class_Profile!H48</f>
        <v>1.7006802721088435E-3</v>
      </c>
      <c r="F48" s="10">
        <f>Player_Class_Profile!G48/Player_Class_Profile!H48</f>
        <v>0.17687074829931973</v>
      </c>
      <c r="G48" s="13">
        <f>(_xlfn.XLOOKUP($A48,Player_Mode_Profile!$A:$A,Player_Mode_Profile!P:P)/(_xlfn.XLOOKUP($A48,Player_Mode_Profile!$A:$A,Player_Mode_Profile!$T:$T)))</f>
        <v>0.86321525885558581</v>
      </c>
      <c r="H48" s="14">
        <f>(_xlfn.XLOOKUP($A48,Player_Mode_Profile!$A:$A,Player_Mode_Profile!Q:Q)/(_xlfn.XLOOKUP($A48,Player_Mode_Profile!$A:$A,Player_Mode_Profile!$T:$T)))</f>
        <v>0.13079019073569481</v>
      </c>
      <c r="I48" s="14">
        <f>(_xlfn.XLOOKUP($A48,Player_Mode_Profile!$A:$A,Player_Mode_Profile!R:R)/(_xlfn.XLOOKUP($A48,Player_Mode_Profile!$A:$A,Player_Mode_Profile!$T:$T)))</f>
        <v>5.9945504087193461E-3</v>
      </c>
      <c r="J48" s="14">
        <f>(_xlfn.XLOOKUP($A48,Player_Mode_Profile!$A:$A,Player_Mode_Profile!S:S)/(_xlfn.XLOOKUP($A48,Player_Mode_Profile!$A:$A,Player_Mode_Profile!$T:$T)))</f>
        <v>0</v>
      </c>
    </row>
    <row r="49" spans="1:10" x14ac:dyDescent="0.25">
      <c r="A49" t="str">
        <f>Player_Mode_Profile!A49</f>
        <v>deesmoke180</v>
      </c>
      <c r="B49">
        <v>477</v>
      </c>
      <c r="C49" s="13">
        <f>Player_Class_Profile!D49/Player_Class_Profile!H49</f>
        <v>0.27114427860696516</v>
      </c>
      <c r="D49" s="10">
        <f>Player_Class_Profile!E49/Player_Class_Profile!H49</f>
        <v>0.23134328358208955</v>
      </c>
      <c r="E49" s="10">
        <f>Player_Class_Profile!F49/Player_Class_Profile!H49</f>
        <v>0.28358208955223879</v>
      </c>
      <c r="F49" s="10">
        <f>Player_Class_Profile!G49/Player_Class_Profile!H49</f>
        <v>0.21393034825870647</v>
      </c>
      <c r="G49" s="13">
        <f>(_xlfn.XLOOKUP($A49,Player_Mode_Profile!$A:$A,Player_Mode_Profile!P:P)/(_xlfn.XLOOKUP($A49,Player_Mode_Profile!$A:$A,Player_Mode_Profile!$T:$T)))</f>
        <v>0.839622641509434</v>
      </c>
      <c r="H49" s="14">
        <f>(_xlfn.XLOOKUP($A49,Player_Mode_Profile!$A:$A,Player_Mode_Profile!Q:Q)/(_xlfn.XLOOKUP($A49,Player_Mode_Profile!$A:$A,Player_Mode_Profile!$T:$T)))</f>
        <v>6.1320754716981132E-2</v>
      </c>
      <c r="I49" s="14">
        <f>(_xlfn.XLOOKUP($A49,Player_Mode_Profile!$A:$A,Player_Mode_Profile!R:R)/(_xlfn.XLOOKUP($A49,Player_Mode_Profile!$A:$A,Player_Mode_Profile!$T:$T)))</f>
        <v>9.9056603773584911E-2</v>
      </c>
      <c r="J49" s="14">
        <f>(_xlfn.XLOOKUP($A49,Player_Mode_Profile!$A:$A,Player_Mode_Profile!S:S)/(_xlfn.XLOOKUP($A49,Player_Mode_Profile!$A:$A,Player_Mode_Profile!$T:$T)))</f>
        <v>0</v>
      </c>
    </row>
    <row r="50" spans="1:10" x14ac:dyDescent="0.25">
      <c r="A50" t="str">
        <f>Player_Mode_Profile!A50</f>
        <v>Comatose615</v>
      </c>
      <c r="B50">
        <v>487</v>
      </c>
      <c r="C50" s="13">
        <f>Player_Class_Profile!D50/Player_Class_Profile!H50</f>
        <v>0.18598382749326145</v>
      </c>
      <c r="D50" s="10">
        <f>Player_Class_Profile!E50/Player_Class_Profile!H50</f>
        <v>0.64824797843665771</v>
      </c>
      <c r="E50" s="10">
        <f>Player_Class_Profile!F50/Player_Class_Profile!H50</f>
        <v>0.10377358490566038</v>
      </c>
      <c r="F50" s="10">
        <f>Player_Class_Profile!G50/Player_Class_Profile!H50</f>
        <v>6.1994609164420483E-2</v>
      </c>
      <c r="G50" s="13">
        <f>(_xlfn.XLOOKUP($A50,Player_Mode_Profile!$A:$A,Player_Mode_Profile!P:P)/(_xlfn.XLOOKUP($A50,Player_Mode_Profile!$A:$A,Player_Mode_Profile!$T:$T)))</f>
        <v>0.72643466236460019</v>
      </c>
      <c r="H50" s="14">
        <f>(_xlfn.XLOOKUP($A50,Player_Mode_Profile!$A:$A,Player_Mode_Profile!Q:Q)/(_xlfn.XLOOKUP($A50,Player_Mode_Profile!$A:$A,Player_Mode_Profile!$T:$T)))</f>
        <v>0.15395252362295458</v>
      </c>
      <c r="I50" s="14">
        <f>(_xlfn.XLOOKUP($A50,Player_Mode_Profile!$A:$A,Player_Mode_Profile!R:R)/(_xlfn.XLOOKUP($A50,Player_Mode_Profile!$A:$A,Player_Mode_Profile!$T:$T)))</f>
        <v>6.6605208573404004E-2</v>
      </c>
      <c r="J50" s="14">
        <f>(_xlfn.XLOOKUP($A50,Player_Mode_Profile!$A:$A,Player_Mode_Profile!S:S)/(_xlfn.XLOOKUP($A50,Player_Mode_Profile!$A:$A,Player_Mode_Profile!$T:$T)))</f>
        <v>5.3007605439041254E-2</v>
      </c>
    </row>
    <row r="51" spans="1:10" x14ac:dyDescent="0.25">
      <c r="A51" t="str">
        <f>Player_Mode_Profile!A51</f>
        <v>papablack51</v>
      </c>
      <c r="B51">
        <v>497</v>
      </c>
      <c r="C51" s="13">
        <f>Player_Class_Profile!D51/Player_Class_Profile!H51</f>
        <v>0.12286689419795221</v>
      </c>
      <c r="D51" s="10">
        <f>Player_Class_Profile!E51/Player_Class_Profile!H51</f>
        <v>0.17747440273037543</v>
      </c>
      <c r="E51" s="10">
        <f>Player_Class_Profile!F51/Player_Class_Profile!H51</f>
        <v>7.1672354948805458E-2</v>
      </c>
      <c r="F51" s="10">
        <f>Player_Class_Profile!G51/Player_Class_Profile!H51</f>
        <v>0.62798634812286691</v>
      </c>
      <c r="G51" s="13">
        <f>(_xlfn.XLOOKUP($A51,Player_Mode_Profile!$A:$A,Player_Mode_Profile!P:P)/(_xlfn.XLOOKUP($A51,Player_Mode_Profile!$A:$A,Player_Mode_Profile!$T:$T)))</f>
        <v>0.13662790697674418</v>
      </c>
      <c r="H51" s="14">
        <f>(_xlfn.XLOOKUP($A51,Player_Mode_Profile!$A:$A,Player_Mode_Profile!Q:Q)/(_xlfn.XLOOKUP($A51,Player_Mode_Profile!$A:$A,Player_Mode_Profile!$T:$T)))</f>
        <v>0.10319767441860465</v>
      </c>
      <c r="I51" s="14">
        <f>(_xlfn.XLOOKUP($A51,Player_Mode_Profile!$A:$A,Player_Mode_Profile!R:R)/(_xlfn.XLOOKUP($A51,Player_Mode_Profile!$A:$A,Player_Mode_Profile!$T:$T)))</f>
        <v>0.67151162790697672</v>
      </c>
      <c r="J51" s="14">
        <f>(_xlfn.XLOOKUP($A51,Player_Mode_Profile!$A:$A,Player_Mode_Profile!S:S)/(_xlfn.XLOOKUP($A51,Player_Mode_Profile!$A:$A,Player_Mode_Profile!$T:$T)))</f>
        <v>8.8662790697674423E-2</v>
      </c>
    </row>
    <row r="52" spans="1:10" x14ac:dyDescent="0.25">
      <c r="A52" t="str">
        <f>Player_Mode_Profile!A52</f>
        <v>MiaoSangSSS</v>
      </c>
      <c r="B52">
        <v>507</v>
      </c>
      <c r="C52" s="13">
        <f>Player_Class_Profile!D52/Player_Class_Profile!H52</f>
        <v>0.54572271386430682</v>
      </c>
      <c r="D52" s="10">
        <f>Player_Class_Profile!E52/Player_Class_Profile!H52</f>
        <v>9.4395280235988199E-2</v>
      </c>
      <c r="E52" s="10">
        <f>Player_Class_Profile!F52/Player_Class_Profile!H52</f>
        <v>0.15929203539823009</v>
      </c>
      <c r="F52" s="10">
        <f>Player_Class_Profile!G52/Player_Class_Profile!H52</f>
        <v>0.20058997050147492</v>
      </c>
      <c r="G52" s="13">
        <f>(_xlfn.XLOOKUP($A52,Player_Mode_Profile!$A:$A,Player_Mode_Profile!P:P)/(_xlfn.XLOOKUP($A52,Player_Mode_Profile!$A:$A,Player_Mode_Profile!$T:$T)))</f>
        <v>0.32410256410256411</v>
      </c>
      <c r="H52" s="14">
        <f>(_xlfn.XLOOKUP($A52,Player_Mode_Profile!$A:$A,Player_Mode_Profile!Q:Q)/(_xlfn.XLOOKUP($A52,Player_Mode_Profile!$A:$A,Player_Mode_Profile!$T:$T)))</f>
        <v>0.64615384615384619</v>
      </c>
      <c r="I52" s="14">
        <f>(_xlfn.XLOOKUP($A52,Player_Mode_Profile!$A:$A,Player_Mode_Profile!R:R)/(_xlfn.XLOOKUP($A52,Player_Mode_Profile!$A:$A,Player_Mode_Profile!$T:$T)))</f>
        <v>2.1538461538461538E-2</v>
      </c>
      <c r="J52" s="14">
        <f>(_xlfn.XLOOKUP($A52,Player_Mode_Profile!$A:$A,Player_Mode_Profile!S:S)/(_xlfn.XLOOKUP($A52,Player_Mode_Profile!$A:$A,Player_Mode_Profile!$T:$T)))</f>
        <v>8.2051282051282051E-3</v>
      </c>
    </row>
    <row r="53" spans="1:10" x14ac:dyDescent="0.25">
      <c r="A53" t="str">
        <f>Player_Mode_Profile!A53</f>
        <v>Parziva-l-_-l</v>
      </c>
      <c r="B53">
        <v>517</v>
      </c>
      <c r="C53" s="13">
        <f>Player_Class_Profile!D53/Player_Class_Profile!H53</f>
        <v>0.15666666666666668</v>
      </c>
      <c r="D53" s="10">
        <f>Player_Class_Profile!E53/Player_Class_Profile!H53</f>
        <v>9.8333333333333328E-2</v>
      </c>
      <c r="E53" s="10">
        <f>Player_Class_Profile!F53/Player_Class_Profile!H53</f>
        <v>3.833333333333333E-2</v>
      </c>
      <c r="F53" s="10">
        <f>Player_Class_Profile!G53/Player_Class_Profile!H53</f>
        <v>0.70666666666666667</v>
      </c>
      <c r="G53" s="13">
        <f>(_xlfn.XLOOKUP($A53,Player_Mode_Profile!$A:$A,Player_Mode_Profile!P:P)/(_xlfn.XLOOKUP($A53,Player_Mode_Profile!$A:$A,Player_Mode_Profile!$T:$T)))</f>
        <v>0.91483219054492959</v>
      </c>
      <c r="H53" s="14">
        <f>(_xlfn.XLOOKUP($A53,Player_Mode_Profile!$A:$A,Player_Mode_Profile!Q:Q)/(_xlfn.XLOOKUP($A53,Player_Mode_Profile!$A:$A,Player_Mode_Profile!$T:$T)))</f>
        <v>6.8928184770840853E-2</v>
      </c>
      <c r="I53" s="14">
        <f>(_xlfn.XLOOKUP($A53,Player_Mode_Profile!$A:$A,Player_Mode_Profile!R:R)/(_xlfn.XLOOKUP($A53,Player_Mode_Profile!$A:$A,Player_Mode_Profile!$T:$T)))</f>
        <v>1.5517863587152653E-2</v>
      </c>
      <c r="J53" s="14">
        <f>(_xlfn.XLOOKUP($A53,Player_Mode_Profile!$A:$A,Player_Mode_Profile!S:S)/(_xlfn.XLOOKUP($A53,Player_Mode_Profile!$A:$A,Player_Mode_Profile!$T:$T)))</f>
        <v>7.217610970768675E-4</v>
      </c>
    </row>
    <row r="54" spans="1:10" x14ac:dyDescent="0.25">
      <c r="A54" t="str">
        <f>Player_Mode_Profile!A54</f>
        <v>ValarMorghulis49</v>
      </c>
      <c r="B54">
        <v>527</v>
      </c>
      <c r="C54" s="13">
        <f>Player_Class_Profile!D54/Player_Class_Profile!H54</f>
        <v>0.39577039274924469</v>
      </c>
      <c r="D54" s="10">
        <f>Player_Class_Profile!E54/Player_Class_Profile!H54</f>
        <v>0.19637462235649547</v>
      </c>
      <c r="E54" s="10">
        <f>Player_Class_Profile!F54/Player_Class_Profile!H54</f>
        <v>9.9697885196374625E-2</v>
      </c>
      <c r="F54" s="10">
        <f>Player_Class_Profile!G54/Player_Class_Profile!H54</f>
        <v>0.30815709969788518</v>
      </c>
      <c r="G54" s="13">
        <f>(_xlfn.XLOOKUP($A54,Player_Mode_Profile!$A:$A,Player_Mode_Profile!P:P)/(_xlfn.XLOOKUP($A54,Player_Mode_Profile!$A:$A,Player_Mode_Profile!$T:$T)))</f>
        <v>3.2181168057210968E-2</v>
      </c>
      <c r="H54" s="14">
        <f>(_xlfn.XLOOKUP($A54,Player_Mode_Profile!$A:$A,Player_Mode_Profile!Q:Q)/(_xlfn.XLOOKUP($A54,Player_Mode_Profile!$A:$A,Player_Mode_Profile!$T:$T)))</f>
        <v>0.93921334922526822</v>
      </c>
      <c r="I54" s="14">
        <f>(_xlfn.XLOOKUP($A54,Player_Mode_Profile!$A:$A,Player_Mode_Profile!R:R)/(_xlfn.XLOOKUP($A54,Player_Mode_Profile!$A:$A,Player_Mode_Profile!$T:$T)))</f>
        <v>2.6221692491060787E-2</v>
      </c>
      <c r="J54" s="14">
        <f>(_xlfn.XLOOKUP($A54,Player_Mode_Profile!$A:$A,Player_Mode_Profile!S:S)/(_xlfn.XLOOKUP($A54,Player_Mode_Profile!$A:$A,Player_Mode_Profile!$T:$T)))</f>
        <v>2.3837902264600714E-3</v>
      </c>
    </row>
    <row r="55" spans="1:10" x14ac:dyDescent="0.25">
      <c r="A55" t="str">
        <f>Player_Mode_Profile!A55</f>
        <v>Steffy-_Errote_-</v>
      </c>
      <c r="B55">
        <v>537</v>
      </c>
      <c r="C55" s="13">
        <f>Player_Class_Profile!D55/Player_Class_Profile!H55</f>
        <v>0.46246973365617433</v>
      </c>
      <c r="D55" s="10">
        <f>Player_Class_Profile!E55/Player_Class_Profile!H55</f>
        <v>0.20338983050847459</v>
      </c>
      <c r="E55" s="10">
        <f>Player_Class_Profile!F55/Player_Class_Profile!H55</f>
        <v>0.2009685230024213</v>
      </c>
      <c r="F55" s="10">
        <f>Player_Class_Profile!G55/Player_Class_Profile!H55</f>
        <v>0.13317191283292978</v>
      </c>
      <c r="G55" s="13">
        <f>(_xlfn.XLOOKUP($A55,Player_Mode_Profile!$A:$A,Player_Mode_Profile!P:P)/(_xlfn.XLOOKUP($A55,Player_Mode_Profile!$A:$A,Player_Mode_Profile!$T:$T)))</f>
        <v>0.94688922610015169</v>
      </c>
      <c r="H55" s="14">
        <f>(_xlfn.XLOOKUP($A55,Player_Mode_Profile!$A:$A,Player_Mode_Profile!Q:Q)/(_xlfn.XLOOKUP($A55,Player_Mode_Profile!$A:$A,Player_Mode_Profile!$T:$T)))</f>
        <v>1.9221041982802226E-2</v>
      </c>
      <c r="I55" s="14">
        <f>(_xlfn.XLOOKUP($A55,Player_Mode_Profile!$A:$A,Player_Mode_Profile!R:R)/(_xlfn.XLOOKUP($A55,Player_Mode_Profile!$A:$A,Player_Mode_Profile!$T:$T)))</f>
        <v>2.2761760242792108E-2</v>
      </c>
      <c r="J55" s="14">
        <f>(_xlfn.XLOOKUP($A55,Player_Mode_Profile!$A:$A,Player_Mode_Profile!S:S)/(_xlfn.XLOOKUP($A55,Player_Mode_Profile!$A:$A,Player_Mode_Profile!$T:$T)))</f>
        <v>1.112797167425392E-2</v>
      </c>
    </row>
    <row r="56" spans="1:10" x14ac:dyDescent="0.25">
      <c r="A56" t="str">
        <f>Player_Mode_Profile!A56</f>
        <v>phillymidnight</v>
      </c>
      <c r="B56">
        <v>547</v>
      </c>
      <c r="C56" s="13">
        <f>Player_Class_Profile!D56/Player_Class_Profile!H56</f>
        <v>3.9351851851851853E-2</v>
      </c>
      <c r="D56" s="10">
        <f>Player_Class_Profile!E56/Player_Class_Profile!H56</f>
        <v>0.84953703703703709</v>
      </c>
      <c r="E56" s="10">
        <f>Player_Class_Profile!F56/Player_Class_Profile!H56</f>
        <v>1.6203703703703703E-2</v>
      </c>
      <c r="F56" s="10">
        <f>Player_Class_Profile!G56/Player_Class_Profile!H56</f>
        <v>9.4907407407407413E-2</v>
      </c>
      <c r="G56" s="13">
        <f>(_xlfn.XLOOKUP($A56,Player_Mode_Profile!$A:$A,Player_Mode_Profile!P:P)/(_xlfn.XLOOKUP($A56,Player_Mode_Profile!$A:$A,Player_Mode_Profile!$T:$T)))</f>
        <v>0.87734046618265193</v>
      </c>
      <c r="H56" s="14">
        <f>(_xlfn.XLOOKUP($A56,Player_Mode_Profile!$A:$A,Player_Mode_Profile!Q:Q)/(_xlfn.XLOOKUP($A56,Player_Mode_Profile!$A:$A,Player_Mode_Profile!$T:$T)))</f>
        <v>6.2667176155903712E-2</v>
      </c>
      <c r="I56" s="14">
        <f>(_xlfn.XLOOKUP($A56,Player_Mode_Profile!$A:$A,Player_Mode_Profile!R:R)/(_xlfn.XLOOKUP($A56,Player_Mode_Profile!$A:$A,Player_Mode_Profile!$T:$T)))</f>
        <v>1.7577378677875431E-2</v>
      </c>
      <c r="J56" s="14">
        <f>(_xlfn.XLOOKUP($A56,Player_Mode_Profile!$A:$A,Player_Mode_Profile!S:S)/(_xlfn.XLOOKUP($A56,Player_Mode_Profile!$A:$A,Player_Mode_Profile!$T:$T)))</f>
        <v>4.2414978983568975E-2</v>
      </c>
    </row>
    <row r="57" spans="1:10" x14ac:dyDescent="0.25">
      <c r="A57" t="str">
        <f>Player_Mode_Profile!A57</f>
        <v>ZachAttack9041</v>
      </c>
      <c r="B57">
        <v>557</v>
      </c>
      <c r="C57" s="13">
        <f>Player_Class_Profile!D57/Player_Class_Profile!H57</f>
        <v>0.83713355048859939</v>
      </c>
      <c r="D57" s="10">
        <f>Player_Class_Profile!E57/Player_Class_Profile!H57</f>
        <v>0.10423452768729642</v>
      </c>
      <c r="E57" s="10">
        <f>Player_Class_Profile!F57/Player_Class_Profile!H57</f>
        <v>3.9087947882736153E-2</v>
      </c>
      <c r="F57" s="10">
        <f>Player_Class_Profile!G57/Player_Class_Profile!H57</f>
        <v>1.9543973941368076E-2</v>
      </c>
      <c r="G57" s="13">
        <f>(_xlfn.XLOOKUP($A57,Player_Mode_Profile!$A:$A,Player_Mode_Profile!P:P)/(_xlfn.XLOOKUP($A57,Player_Mode_Profile!$A:$A,Player_Mode_Profile!$T:$T)))</f>
        <v>0.872198667474258</v>
      </c>
      <c r="H57" s="14">
        <f>(_xlfn.XLOOKUP($A57,Player_Mode_Profile!$A:$A,Player_Mode_Profile!Q:Q)/(_xlfn.XLOOKUP($A57,Player_Mode_Profile!$A:$A,Player_Mode_Profile!$T:$T)))</f>
        <v>0.10781344639612356</v>
      </c>
      <c r="I57" s="14">
        <f>(_xlfn.XLOOKUP($A57,Player_Mode_Profile!$A:$A,Player_Mode_Profile!R:R)/(_xlfn.XLOOKUP($A57,Player_Mode_Profile!$A:$A,Player_Mode_Profile!$T:$T)))</f>
        <v>1.7565112053301031E-2</v>
      </c>
      <c r="J57" s="14">
        <f>(_xlfn.XLOOKUP($A57,Player_Mode_Profile!$A:$A,Player_Mode_Profile!S:S)/(_xlfn.XLOOKUP($A57,Player_Mode_Profile!$A:$A,Player_Mode_Profile!$T:$T)))</f>
        <v>2.4227740763173833E-3</v>
      </c>
    </row>
    <row r="58" spans="1:10" x14ac:dyDescent="0.25">
      <c r="A58" t="str">
        <f>Player_Mode_Profile!A58</f>
        <v>xW1cKeDxHIGH420</v>
      </c>
      <c r="B58">
        <v>567</v>
      </c>
      <c r="C58" s="13">
        <f>Player_Class_Profile!D58/Player_Class_Profile!H58</f>
        <v>7.8341013824884786E-2</v>
      </c>
      <c r="D58" s="10">
        <f>Player_Class_Profile!E58/Player_Class_Profile!H58</f>
        <v>0.73271889400921664</v>
      </c>
      <c r="E58" s="10">
        <f>Player_Class_Profile!F58/Player_Class_Profile!H58</f>
        <v>5.7603686635944701E-2</v>
      </c>
      <c r="F58" s="10">
        <f>Player_Class_Profile!G58/Player_Class_Profile!H58</f>
        <v>0.1313364055299539</v>
      </c>
      <c r="G58" s="13">
        <f>(_xlfn.XLOOKUP($A58,Player_Mode_Profile!$A:$A,Player_Mode_Profile!P:P)/(_xlfn.XLOOKUP($A58,Player_Mode_Profile!$A:$A,Player_Mode_Profile!$T:$T)))</f>
        <v>0.65984882169853265</v>
      </c>
      <c r="H58" s="14">
        <f>(_xlfn.XLOOKUP($A58,Player_Mode_Profile!$A:$A,Player_Mode_Profile!Q:Q)/(_xlfn.XLOOKUP($A58,Player_Mode_Profile!$A:$A,Player_Mode_Profile!$T:$T)))</f>
        <v>0.13561582925744775</v>
      </c>
      <c r="I58" s="14">
        <f>(_xlfn.XLOOKUP($A58,Player_Mode_Profile!$A:$A,Player_Mode_Profile!R:R)/(_xlfn.XLOOKUP($A58,Player_Mode_Profile!$A:$A,Player_Mode_Profile!$T:$T)))</f>
        <v>2.7567807914628723E-2</v>
      </c>
      <c r="J58" s="14">
        <f>(_xlfn.XLOOKUP($A58,Player_Mode_Profile!$A:$A,Player_Mode_Profile!S:S)/(_xlfn.XLOOKUP($A58,Player_Mode_Profile!$A:$A,Player_Mode_Profile!$T:$T)))</f>
        <v>0.17696754112939084</v>
      </c>
    </row>
    <row r="59" spans="1:10" x14ac:dyDescent="0.25">
      <c r="A59" t="str">
        <f>Player_Mode_Profile!A59</f>
        <v>Bally-Bola</v>
      </c>
      <c r="B59">
        <v>577</v>
      </c>
      <c r="C59" s="13">
        <f>Player_Class_Profile!D59/Player_Class_Profile!H59</f>
        <v>0.54578754578754574</v>
      </c>
      <c r="D59" s="10">
        <f>Player_Class_Profile!E59/Player_Class_Profile!H59</f>
        <v>0.29487179487179488</v>
      </c>
      <c r="E59" s="10">
        <f>Player_Class_Profile!F59/Player_Class_Profile!H59</f>
        <v>1.6483516483516484E-2</v>
      </c>
      <c r="F59" s="10">
        <f>Player_Class_Profile!G59/Player_Class_Profile!H59</f>
        <v>0.14285714285714285</v>
      </c>
      <c r="G59" s="13">
        <f>(_xlfn.XLOOKUP($A59,Player_Mode_Profile!$A:$A,Player_Mode_Profile!P:P)/(_xlfn.XLOOKUP($A59,Player_Mode_Profile!$A:$A,Player_Mode_Profile!$T:$T)))</f>
        <v>0.1911013858497447</v>
      </c>
      <c r="H59" s="14">
        <f>(_xlfn.XLOOKUP($A59,Player_Mode_Profile!$A:$A,Player_Mode_Profile!Q:Q)/(_xlfn.XLOOKUP($A59,Player_Mode_Profile!$A:$A,Player_Mode_Profile!$T:$T)))</f>
        <v>9.4821298322392417E-2</v>
      </c>
      <c r="I59" s="14">
        <f>(_xlfn.XLOOKUP($A59,Player_Mode_Profile!$A:$A,Player_Mode_Profile!R:R)/(_xlfn.XLOOKUP($A59,Player_Mode_Profile!$A:$A,Player_Mode_Profile!$T:$T)))</f>
        <v>0.65207877461706787</v>
      </c>
      <c r="J59" s="14">
        <f>(_xlfn.XLOOKUP($A59,Player_Mode_Profile!$A:$A,Player_Mode_Profile!S:S)/(_xlfn.XLOOKUP($A59,Player_Mode_Profile!$A:$A,Player_Mode_Profile!$T:$T)))</f>
        <v>6.1998541210795038E-2</v>
      </c>
    </row>
    <row r="60" spans="1:10" x14ac:dyDescent="0.25">
      <c r="A60" t="str">
        <f>Player_Mode_Profile!A60</f>
        <v>delfpz</v>
      </c>
      <c r="B60">
        <v>587</v>
      </c>
      <c r="C60" s="13">
        <f>Player_Class_Profile!D60/Player_Class_Profile!H60</f>
        <v>8.9473684210526316E-2</v>
      </c>
      <c r="D60" s="10">
        <f>Player_Class_Profile!E60/Player_Class_Profile!H60</f>
        <v>0.23684210526315788</v>
      </c>
      <c r="E60" s="10">
        <f>Player_Class_Profile!F60/Player_Class_Profile!H60</f>
        <v>0.12894736842105264</v>
      </c>
      <c r="F60" s="10">
        <f>Player_Class_Profile!G60/Player_Class_Profile!H60</f>
        <v>0.54473684210526319</v>
      </c>
      <c r="G60" s="13">
        <f>(_xlfn.XLOOKUP($A60,Player_Mode_Profile!$A:$A,Player_Mode_Profile!P:P)/(_xlfn.XLOOKUP($A60,Player_Mode_Profile!$A:$A,Player_Mode_Profile!$T:$T)))</f>
        <v>7.5697211155378488E-2</v>
      </c>
      <c r="H60" s="14">
        <f>(_xlfn.XLOOKUP($A60,Player_Mode_Profile!$A:$A,Player_Mode_Profile!Q:Q)/(_xlfn.XLOOKUP($A60,Player_Mode_Profile!$A:$A,Player_Mode_Profile!$T:$T)))</f>
        <v>0.85828116107000574</v>
      </c>
      <c r="I60" s="14">
        <f>(_xlfn.XLOOKUP($A60,Player_Mode_Profile!$A:$A,Player_Mode_Profile!R:R)/(_xlfn.XLOOKUP($A60,Player_Mode_Profile!$A:$A,Player_Mode_Profile!$T:$T)))</f>
        <v>6.488332384746727E-2</v>
      </c>
      <c r="J60" s="14">
        <f>(_xlfn.XLOOKUP($A60,Player_Mode_Profile!$A:$A,Player_Mode_Profile!S:S)/(_xlfn.XLOOKUP($A60,Player_Mode_Profile!$A:$A,Player_Mode_Profile!$T:$T)))</f>
        <v>1.1383039271485487E-3</v>
      </c>
    </row>
    <row r="61" spans="1:10" x14ac:dyDescent="0.25">
      <c r="A61" t="str">
        <f>Player_Mode_Profile!A61</f>
        <v>Mad Zar</v>
      </c>
      <c r="B61">
        <v>597</v>
      </c>
      <c r="C61" s="13">
        <f>Player_Class_Profile!D61/Player_Class_Profile!H61</f>
        <v>0.2013888888888889</v>
      </c>
      <c r="D61" s="10">
        <f>Player_Class_Profile!E61/Player_Class_Profile!H61</f>
        <v>0.31944444444444442</v>
      </c>
      <c r="E61" s="10">
        <f>Player_Class_Profile!F61/Player_Class_Profile!H61</f>
        <v>0.12731481481481483</v>
      </c>
      <c r="F61" s="10">
        <f>Player_Class_Profile!G61/Player_Class_Profile!H61</f>
        <v>0.35185185185185186</v>
      </c>
      <c r="G61" s="13">
        <f>(_xlfn.XLOOKUP($A61,Player_Mode_Profile!$A:$A,Player_Mode_Profile!P:P)/(_xlfn.XLOOKUP($A61,Player_Mode_Profile!$A:$A,Player_Mode_Profile!$T:$T)))</f>
        <v>0.57949959644874904</v>
      </c>
      <c r="H61" s="14">
        <f>(_xlfn.XLOOKUP($A61,Player_Mode_Profile!$A:$A,Player_Mode_Profile!Q:Q)/(_xlfn.XLOOKUP($A61,Player_Mode_Profile!$A:$A,Player_Mode_Profile!$T:$T)))</f>
        <v>0.26109765940274415</v>
      </c>
      <c r="I61" s="14">
        <f>(_xlfn.XLOOKUP($A61,Player_Mode_Profile!$A:$A,Player_Mode_Profile!R:R)/(_xlfn.XLOOKUP($A61,Player_Mode_Profile!$A:$A,Player_Mode_Profile!$T:$T)))</f>
        <v>9.6045197740112997E-2</v>
      </c>
      <c r="J61" s="14">
        <f>(_xlfn.XLOOKUP($A61,Player_Mode_Profile!$A:$A,Player_Mode_Profile!S:S)/(_xlfn.XLOOKUP($A61,Player_Mode_Profile!$A:$A,Player_Mode_Profile!$T:$T)))</f>
        <v>6.3357546408393861E-2</v>
      </c>
    </row>
    <row r="62" spans="1:10" x14ac:dyDescent="0.25">
      <c r="A62" t="str">
        <f>Player_Mode_Profile!A62</f>
        <v>RemTozKi</v>
      </c>
      <c r="B62">
        <v>607</v>
      </c>
      <c r="C62" s="13">
        <f>Player_Class_Profile!D62/Player_Class_Profile!H62</f>
        <v>0.24950884086444008</v>
      </c>
      <c r="D62" s="10">
        <f>Player_Class_Profile!E62/Player_Class_Profile!H62</f>
        <v>0.32416502946954812</v>
      </c>
      <c r="E62" s="10">
        <f>Player_Class_Profile!F62/Player_Class_Profile!H62</f>
        <v>0.16110019646365423</v>
      </c>
      <c r="F62" s="10">
        <f>Player_Class_Profile!G62/Player_Class_Profile!H62</f>
        <v>0.26522593320235754</v>
      </c>
      <c r="G62" s="13">
        <f>(_xlfn.XLOOKUP($A62,Player_Mode_Profile!$A:$A,Player_Mode_Profile!P:P)/(_xlfn.XLOOKUP($A62,Player_Mode_Profile!$A:$A,Player_Mode_Profile!$T:$T)))</f>
        <v>0.82962962962962961</v>
      </c>
      <c r="H62" s="14">
        <f>(_xlfn.XLOOKUP($A62,Player_Mode_Profile!$A:$A,Player_Mode_Profile!Q:Q)/(_xlfn.XLOOKUP($A62,Player_Mode_Profile!$A:$A,Player_Mode_Profile!$T:$T)))</f>
        <v>8.5380116959064334E-2</v>
      </c>
      <c r="I62" s="14">
        <f>(_xlfn.XLOOKUP($A62,Player_Mode_Profile!$A:$A,Player_Mode_Profile!R:R)/(_xlfn.XLOOKUP($A62,Player_Mode_Profile!$A:$A,Player_Mode_Profile!$T:$T)))</f>
        <v>5.2631578947368418E-2</v>
      </c>
      <c r="J62" s="14">
        <f>(_xlfn.XLOOKUP($A62,Player_Mode_Profile!$A:$A,Player_Mode_Profile!S:S)/(_xlfn.XLOOKUP($A62,Player_Mode_Profile!$A:$A,Player_Mode_Profile!$T:$T)))</f>
        <v>3.2358674463937621E-2</v>
      </c>
    </row>
    <row r="63" spans="1:10" x14ac:dyDescent="0.25">
      <c r="A63" t="str">
        <f>Player_Mode_Profile!A63</f>
        <v>Ambitious_destro</v>
      </c>
      <c r="B63">
        <v>617</v>
      </c>
      <c r="C63" s="13">
        <f>Player_Class_Profile!D63/Player_Class_Profile!H63</f>
        <v>1.2779552715654952E-2</v>
      </c>
      <c r="D63" s="10">
        <f>Player_Class_Profile!E63/Player_Class_Profile!H63</f>
        <v>0.92651757188498407</v>
      </c>
      <c r="E63" s="10">
        <f>Player_Class_Profile!F63/Player_Class_Profile!H63</f>
        <v>3.1948881789137379E-3</v>
      </c>
      <c r="F63" s="10">
        <f>Player_Class_Profile!G63/Player_Class_Profile!H63</f>
        <v>5.7507987220447282E-2</v>
      </c>
      <c r="G63" s="13">
        <f>(_xlfn.XLOOKUP($A63,Player_Mode_Profile!$A:$A,Player_Mode_Profile!P:P)/(_xlfn.XLOOKUP($A63,Player_Mode_Profile!$A:$A,Player_Mode_Profile!$T:$T)))</f>
        <v>0.90483619344773791</v>
      </c>
      <c r="H63" s="14">
        <f>(_xlfn.XLOOKUP($A63,Player_Mode_Profile!$A:$A,Player_Mode_Profile!Q:Q)/(_xlfn.XLOOKUP($A63,Player_Mode_Profile!$A:$A,Player_Mode_Profile!$T:$T)))</f>
        <v>9.2355694227769111E-2</v>
      </c>
      <c r="I63" s="14">
        <f>(_xlfn.XLOOKUP($A63,Player_Mode_Profile!$A:$A,Player_Mode_Profile!R:R)/(_xlfn.XLOOKUP($A63,Player_Mode_Profile!$A:$A,Player_Mode_Profile!$T:$T)))</f>
        <v>2.8081123244929796E-3</v>
      </c>
      <c r="J63" s="14">
        <f>(_xlfn.XLOOKUP($A63,Player_Mode_Profile!$A:$A,Player_Mode_Profile!S:S)/(_xlfn.XLOOKUP($A63,Player_Mode_Profile!$A:$A,Player_Mode_Profile!$T:$T)))</f>
        <v>0</v>
      </c>
    </row>
    <row r="64" spans="1:10" x14ac:dyDescent="0.25">
      <c r="A64" t="str">
        <f>Player_Mode_Profile!A64</f>
        <v>avengerhawk</v>
      </c>
      <c r="B64">
        <v>627</v>
      </c>
      <c r="C64" s="13">
        <f>Player_Class_Profile!D64/Player_Class_Profile!H64</f>
        <v>0.90851735015772872</v>
      </c>
      <c r="D64" s="10">
        <f>Player_Class_Profile!E64/Player_Class_Profile!H64</f>
        <v>5.0473186119873815E-2</v>
      </c>
      <c r="E64" s="10">
        <f>Player_Class_Profile!F64/Player_Class_Profile!H64</f>
        <v>2.2082018927444796E-2</v>
      </c>
      <c r="F64" s="10">
        <f>Player_Class_Profile!G64/Player_Class_Profile!H64</f>
        <v>1.8927444794952682E-2</v>
      </c>
      <c r="G64" s="13">
        <f>(_xlfn.XLOOKUP($A64,Player_Mode_Profile!$A:$A,Player_Mode_Profile!P:P)/(_xlfn.XLOOKUP($A64,Player_Mode_Profile!$A:$A,Player_Mode_Profile!$T:$T)))</f>
        <v>3.8734667527437058E-3</v>
      </c>
      <c r="H64" s="14">
        <f>(_xlfn.XLOOKUP($A64,Player_Mode_Profile!$A:$A,Player_Mode_Profile!Q:Q)/(_xlfn.XLOOKUP($A64,Player_Mode_Profile!$A:$A,Player_Mode_Profile!$T:$T)))</f>
        <v>0.98063266623628143</v>
      </c>
      <c r="I64" s="14">
        <f>(_xlfn.XLOOKUP($A64,Player_Mode_Profile!$A:$A,Player_Mode_Profile!R:R)/(_xlfn.XLOOKUP($A64,Player_Mode_Profile!$A:$A,Player_Mode_Profile!$T:$T)))</f>
        <v>1.355713363460297E-2</v>
      </c>
      <c r="J64" s="14">
        <f>(_xlfn.XLOOKUP($A64,Player_Mode_Profile!$A:$A,Player_Mode_Profile!S:S)/(_xlfn.XLOOKUP($A64,Player_Mode_Profile!$A:$A,Player_Mode_Profile!$T:$T)))</f>
        <v>1.9367333763718529E-3</v>
      </c>
    </row>
    <row r="65" spans="1:10" x14ac:dyDescent="0.25">
      <c r="A65" t="str">
        <f>Player_Mode_Profile!A65</f>
        <v>sums</v>
      </c>
      <c r="B65">
        <v>637</v>
      </c>
      <c r="C65" s="13">
        <f>Player_Class_Profile!D65/Player_Class_Profile!H65</f>
        <v>0.14351851851851852</v>
      </c>
      <c r="D65" s="10">
        <f>Player_Class_Profile!E65/Player_Class_Profile!H65</f>
        <v>0.10185185185185185</v>
      </c>
      <c r="E65" s="10">
        <f>Player_Class_Profile!F65/Player_Class_Profile!H65</f>
        <v>0.14351851851851852</v>
      </c>
      <c r="F65" s="10">
        <f>Player_Class_Profile!G65/Player_Class_Profile!H65</f>
        <v>0.61111111111111116</v>
      </c>
      <c r="G65" s="13">
        <f>(_xlfn.XLOOKUP($A65,Player_Mode_Profile!$A:$A,Player_Mode_Profile!P:P)/(_xlfn.XLOOKUP($A65,Player_Mode_Profile!$A:$A,Player_Mode_Profile!$T:$T)))</f>
        <v>0.1297071129707113</v>
      </c>
      <c r="H65" s="14">
        <f>(_xlfn.XLOOKUP($A65,Player_Mode_Profile!$A:$A,Player_Mode_Profile!Q:Q)/(_xlfn.XLOOKUP($A65,Player_Mode_Profile!$A:$A,Player_Mode_Profile!$T:$T)))</f>
        <v>0.49163179916317989</v>
      </c>
      <c r="I65" s="14">
        <f>(_xlfn.XLOOKUP($A65,Player_Mode_Profile!$A:$A,Player_Mode_Profile!R:R)/(_xlfn.XLOOKUP($A65,Player_Mode_Profile!$A:$A,Player_Mode_Profile!$T:$T)))</f>
        <v>0.30596234309623432</v>
      </c>
      <c r="J65" s="14">
        <f>(_xlfn.XLOOKUP($A65,Player_Mode_Profile!$A:$A,Player_Mode_Profile!S:S)/(_xlfn.XLOOKUP($A65,Player_Mode_Profile!$A:$A,Player_Mode_Profile!$T:$T)))</f>
        <v>7.2698744769874479E-2</v>
      </c>
    </row>
    <row r="66" spans="1:10" x14ac:dyDescent="0.25">
      <c r="A66" t="str">
        <f>Player_Mode_Profile!A66</f>
        <v>GML1977</v>
      </c>
      <c r="B66">
        <v>647</v>
      </c>
      <c r="C66" s="13">
        <f>Player_Class_Profile!D66/Player_Class_Profile!H66</f>
        <v>0.81704260651629068</v>
      </c>
      <c r="D66" s="10">
        <f>Player_Class_Profile!E66/Player_Class_Profile!H66</f>
        <v>4.7619047619047616E-2</v>
      </c>
      <c r="E66" s="10">
        <f>Player_Class_Profile!F66/Player_Class_Profile!H66</f>
        <v>6.5162907268170422E-2</v>
      </c>
      <c r="F66" s="10">
        <f>Player_Class_Profile!G66/Player_Class_Profile!H66</f>
        <v>7.0175438596491224E-2</v>
      </c>
      <c r="G66" s="13">
        <f>(_xlfn.XLOOKUP($A66,Player_Mode_Profile!$A:$A,Player_Mode_Profile!P:P)/(_xlfn.XLOOKUP($A66,Player_Mode_Profile!$A:$A,Player_Mode_Profile!$T:$T)))</f>
        <v>0.94065544729849426</v>
      </c>
      <c r="H66" s="14">
        <f>(_xlfn.XLOOKUP($A66,Player_Mode_Profile!$A:$A,Player_Mode_Profile!Q:Q)/(_xlfn.XLOOKUP($A66,Player_Mode_Profile!$A:$A,Player_Mode_Profile!$T:$T)))</f>
        <v>5.7573073516386181E-3</v>
      </c>
      <c r="I66" s="14">
        <f>(_xlfn.XLOOKUP($A66,Player_Mode_Profile!$A:$A,Player_Mode_Profile!R:R)/(_xlfn.XLOOKUP($A66,Player_Mode_Profile!$A:$A,Player_Mode_Profile!$T:$T)))</f>
        <v>2.1700620017714792E-2</v>
      </c>
      <c r="J66" s="14">
        <f>(_xlfn.XLOOKUP($A66,Player_Mode_Profile!$A:$A,Player_Mode_Profile!S:S)/(_xlfn.XLOOKUP($A66,Player_Mode_Profile!$A:$A,Player_Mode_Profile!$T:$T)))</f>
        <v>3.1886625332152349E-2</v>
      </c>
    </row>
    <row r="67" spans="1:10" x14ac:dyDescent="0.25">
      <c r="A67" t="str">
        <f>Player_Mode_Profile!A67</f>
        <v>XxUN7OUCHA8L3xX</v>
      </c>
      <c r="B67">
        <v>657</v>
      </c>
      <c r="C67" s="13">
        <f>Player_Class_Profile!D67/Player_Class_Profile!H67</f>
        <v>4.0650406504065045E-3</v>
      </c>
      <c r="D67" s="10">
        <f>Player_Class_Profile!E67/Player_Class_Profile!H67</f>
        <v>0</v>
      </c>
      <c r="E67" s="10">
        <f>Player_Class_Profile!F67/Player_Class_Profile!H67</f>
        <v>0.99593495934959353</v>
      </c>
      <c r="F67" s="10">
        <f>Player_Class_Profile!G67/Player_Class_Profile!H67</f>
        <v>0</v>
      </c>
      <c r="G67" s="13">
        <f>(_xlfn.XLOOKUP($A67,Player_Mode_Profile!$A:$A,Player_Mode_Profile!P:P)/(_xlfn.XLOOKUP($A67,Player_Mode_Profile!$A:$A,Player_Mode_Profile!$T:$T)))</f>
        <v>0.15963161933998465</v>
      </c>
      <c r="H67" s="14">
        <f>(_xlfn.XLOOKUP($A67,Player_Mode_Profile!$A:$A,Player_Mode_Profile!Q:Q)/(_xlfn.XLOOKUP($A67,Player_Mode_Profile!$A:$A,Player_Mode_Profile!$T:$T)))</f>
        <v>0.50959324635456638</v>
      </c>
      <c r="I67" s="14">
        <f>(_xlfn.XLOOKUP($A67,Player_Mode_Profile!$A:$A,Player_Mode_Profile!R:R)/(_xlfn.XLOOKUP($A67,Player_Mode_Profile!$A:$A,Player_Mode_Profile!$T:$T)))</f>
        <v>0.3246354566385265</v>
      </c>
      <c r="J67" s="14">
        <f>(_xlfn.XLOOKUP($A67,Player_Mode_Profile!$A:$A,Player_Mode_Profile!S:S)/(_xlfn.XLOOKUP($A67,Player_Mode_Profile!$A:$A,Player_Mode_Profile!$T:$T)))</f>
        <v>6.1396776669224865E-3</v>
      </c>
    </row>
    <row r="68" spans="1:10" x14ac:dyDescent="0.25">
      <c r="A68" t="str">
        <f>Player_Mode_Profile!A68</f>
        <v>Unkizz</v>
      </c>
      <c r="B68">
        <v>667</v>
      </c>
      <c r="C68" s="13">
        <f>Player_Class_Profile!D68/Player_Class_Profile!H68</f>
        <v>0.30593607305936071</v>
      </c>
      <c r="D68" s="10">
        <f>Player_Class_Profile!E68/Player_Class_Profile!H68</f>
        <v>0.3949771689497717</v>
      </c>
      <c r="E68" s="10">
        <f>Player_Class_Profile!F68/Player_Class_Profile!H68</f>
        <v>9.3607305936073054E-2</v>
      </c>
      <c r="F68" s="10">
        <f>Player_Class_Profile!G68/Player_Class_Profile!H68</f>
        <v>0.20547945205479451</v>
      </c>
      <c r="G68" s="13">
        <f>(_xlfn.XLOOKUP($A68,Player_Mode_Profile!$A:$A,Player_Mode_Profile!P:P)/(_xlfn.XLOOKUP($A68,Player_Mode_Profile!$A:$A,Player_Mode_Profile!$T:$T)))</f>
        <v>0.75441696113074208</v>
      </c>
      <c r="H68" s="14">
        <f>(_xlfn.XLOOKUP($A68,Player_Mode_Profile!$A:$A,Player_Mode_Profile!Q:Q)/(_xlfn.XLOOKUP($A68,Player_Mode_Profile!$A:$A,Player_Mode_Profile!$T:$T)))</f>
        <v>0.19964664310954064</v>
      </c>
      <c r="I68" s="14">
        <f>(_xlfn.XLOOKUP($A68,Player_Mode_Profile!$A:$A,Player_Mode_Profile!R:R)/(_xlfn.XLOOKUP($A68,Player_Mode_Profile!$A:$A,Player_Mode_Profile!$T:$T)))</f>
        <v>3.5335689045936397E-2</v>
      </c>
      <c r="J68" s="14">
        <f>(_xlfn.XLOOKUP($A68,Player_Mode_Profile!$A:$A,Player_Mode_Profile!S:S)/(_xlfn.XLOOKUP($A68,Player_Mode_Profile!$A:$A,Player_Mode_Profile!$T:$T)))</f>
        <v>1.0600706713780919E-2</v>
      </c>
    </row>
    <row r="69" spans="1:10" x14ac:dyDescent="0.25">
      <c r="A69" t="str">
        <f>Player_Mode_Profile!A69</f>
        <v>LRTX_BF</v>
      </c>
      <c r="B69">
        <v>677</v>
      </c>
      <c r="C69" s="13">
        <f>Player_Class_Profile!D69/Player_Class_Profile!H69</f>
        <v>0.1240506329113924</v>
      </c>
      <c r="D69" s="10">
        <f>Player_Class_Profile!E69/Player_Class_Profile!H69</f>
        <v>0.66582278481012658</v>
      </c>
      <c r="E69" s="10">
        <f>Player_Class_Profile!F69/Player_Class_Profile!H69</f>
        <v>0.17215189873417722</v>
      </c>
      <c r="F69" s="10">
        <f>Player_Class_Profile!G69/Player_Class_Profile!H69</f>
        <v>3.7974683544303799E-2</v>
      </c>
      <c r="G69" s="13">
        <f>(_xlfn.XLOOKUP($A69,Player_Mode_Profile!$A:$A,Player_Mode_Profile!P:P)/(_xlfn.XLOOKUP($A69,Player_Mode_Profile!$A:$A,Player_Mode_Profile!$T:$T)))</f>
        <v>0.94781273983115888</v>
      </c>
      <c r="H69" s="14">
        <f>(_xlfn.XLOOKUP($A69,Player_Mode_Profile!$A:$A,Player_Mode_Profile!Q:Q)/(_xlfn.XLOOKUP($A69,Player_Mode_Profile!$A:$A,Player_Mode_Profile!$T:$T)))</f>
        <v>4.7582501918649274E-2</v>
      </c>
      <c r="I69" s="14">
        <f>(_xlfn.XLOOKUP($A69,Player_Mode_Profile!$A:$A,Player_Mode_Profile!R:R)/(_xlfn.XLOOKUP($A69,Player_Mode_Profile!$A:$A,Player_Mode_Profile!$T:$T)))</f>
        <v>4.6047582501918651E-3</v>
      </c>
      <c r="J69" s="14">
        <f>(_xlfn.XLOOKUP($A69,Player_Mode_Profile!$A:$A,Player_Mode_Profile!S:S)/(_xlfn.XLOOKUP($A69,Player_Mode_Profile!$A:$A,Player_Mode_Profile!$T:$T)))</f>
        <v>0</v>
      </c>
    </row>
    <row r="70" spans="1:10" x14ac:dyDescent="0.25">
      <c r="A70" t="str">
        <f>Player_Mode_Profile!A70</f>
        <v>Rust</v>
      </c>
      <c r="B70">
        <v>687</v>
      </c>
      <c r="C70" s="13">
        <f>Player_Class_Profile!D70/Player_Class_Profile!H70</f>
        <v>0.12897196261682242</v>
      </c>
      <c r="D70" s="10">
        <f>Player_Class_Profile!E70/Player_Class_Profile!H70</f>
        <v>0.29345794392523367</v>
      </c>
      <c r="E70" s="10">
        <f>Player_Class_Profile!F70/Player_Class_Profile!H70</f>
        <v>0.34392523364485983</v>
      </c>
      <c r="F70" s="10">
        <f>Player_Class_Profile!G70/Player_Class_Profile!H70</f>
        <v>0.23364485981308411</v>
      </c>
      <c r="G70" s="13">
        <f>(_xlfn.XLOOKUP($A70,Player_Mode_Profile!$A:$A,Player_Mode_Profile!P:P)/(_xlfn.XLOOKUP($A70,Player_Mode_Profile!$A:$A,Player_Mode_Profile!$T:$T)))</f>
        <v>0.90578965399109279</v>
      </c>
      <c r="H70" s="14">
        <f>(_xlfn.XLOOKUP($A70,Player_Mode_Profile!$A:$A,Player_Mode_Profile!Q:Q)/(_xlfn.XLOOKUP($A70,Player_Mode_Profile!$A:$A,Player_Mode_Profile!$T:$T)))</f>
        <v>8.496060294621445E-2</v>
      </c>
      <c r="I70" s="14">
        <f>(_xlfn.XLOOKUP($A70,Player_Mode_Profile!$A:$A,Player_Mode_Profile!R:R)/(_xlfn.XLOOKUP($A70,Player_Mode_Profile!$A:$A,Player_Mode_Profile!$T:$T)))</f>
        <v>9.249743062692703E-3</v>
      </c>
      <c r="J70" s="14">
        <f>(_xlfn.XLOOKUP($A70,Player_Mode_Profile!$A:$A,Player_Mode_Profile!S:S)/(_xlfn.XLOOKUP($A70,Player_Mode_Profile!$A:$A,Player_Mode_Profile!$T:$T)))</f>
        <v>0</v>
      </c>
    </row>
    <row r="71" spans="1:10" x14ac:dyDescent="0.25">
      <c r="A71" t="str">
        <f>Player_Mode_Profile!A71</f>
        <v>bladeshin87</v>
      </c>
      <c r="B71">
        <v>697</v>
      </c>
      <c r="C71" s="13">
        <f>Player_Class_Profile!D71/Player_Class_Profile!H71</f>
        <v>0.24296675191815856</v>
      </c>
      <c r="D71" s="10">
        <f>Player_Class_Profile!E71/Player_Class_Profile!H71</f>
        <v>0.41176470588235292</v>
      </c>
      <c r="E71" s="10">
        <f>Player_Class_Profile!F71/Player_Class_Profile!H71</f>
        <v>0.14578005115089515</v>
      </c>
      <c r="F71" s="10">
        <f>Player_Class_Profile!G71/Player_Class_Profile!H71</f>
        <v>0.19948849104859334</v>
      </c>
      <c r="G71" s="13">
        <f>(_xlfn.XLOOKUP($A71,Player_Mode_Profile!$A:$A,Player_Mode_Profile!P:P)/(_xlfn.XLOOKUP($A71,Player_Mode_Profile!$A:$A,Player_Mode_Profile!$T:$T)))</f>
        <v>0.29094650205761319</v>
      </c>
      <c r="H71" s="14">
        <f>(_xlfn.XLOOKUP($A71,Player_Mode_Profile!$A:$A,Player_Mode_Profile!Q:Q)/(_xlfn.XLOOKUP($A71,Player_Mode_Profile!$A:$A,Player_Mode_Profile!$T:$T)))</f>
        <v>0.6674897119341564</v>
      </c>
      <c r="I71" s="14">
        <f>(_xlfn.XLOOKUP($A71,Player_Mode_Profile!$A:$A,Player_Mode_Profile!R:R)/(_xlfn.XLOOKUP($A71,Player_Mode_Profile!$A:$A,Player_Mode_Profile!$T:$T)))</f>
        <v>3.292181069958848E-2</v>
      </c>
      <c r="J71" s="14">
        <f>(_xlfn.XLOOKUP($A71,Player_Mode_Profile!$A:$A,Player_Mode_Profile!S:S)/(_xlfn.XLOOKUP($A71,Player_Mode_Profile!$A:$A,Player_Mode_Profile!$T:$T)))</f>
        <v>8.6419753086419745E-3</v>
      </c>
    </row>
    <row r="72" spans="1:10" x14ac:dyDescent="0.25">
      <c r="A72" t="str">
        <f>Player_Mode_Profile!A72</f>
        <v>pegasusKOOK</v>
      </c>
      <c r="B72">
        <v>707</v>
      </c>
      <c r="C72" s="13">
        <f>Player_Class_Profile!D72/Player_Class_Profile!H72</f>
        <v>0.12290502793296089</v>
      </c>
      <c r="D72" s="10">
        <f>Player_Class_Profile!E72/Player_Class_Profile!H72</f>
        <v>0.16573556797020483</v>
      </c>
      <c r="E72" s="10">
        <f>Player_Class_Profile!F72/Player_Class_Profile!H72</f>
        <v>0.34636871508379891</v>
      </c>
      <c r="F72" s="10">
        <f>Player_Class_Profile!G72/Player_Class_Profile!H72</f>
        <v>0.36499068901303539</v>
      </c>
      <c r="G72" s="13">
        <f>(_xlfn.XLOOKUP($A72,Player_Mode_Profile!$A:$A,Player_Mode_Profile!P:P)/(_xlfn.XLOOKUP($A72,Player_Mode_Profile!$A:$A,Player_Mode_Profile!$T:$T)))</f>
        <v>0.77916518016410985</v>
      </c>
      <c r="H72" s="14">
        <f>(_xlfn.XLOOKUP($A72,Player_Mode_Profile!$A:$A,Player_Mode_Profile!Q:Q)/(_xlfn.XLOOKUP($A72,Player_Mode_Profile!$A:$A,Player_Mode_Profile!$T:$T)))</f>
        <v>3.8530146271851584E-2</v>
      </c>
      <c r="I72" s="14">
        <f>(_xlfn.XLOOKUP($A72,Player_Mode_Profile!$A:$A,Player_Mode_Profile!R:R)/(_xlfn.XLOOKUP($A72,Player_Mode_Profile!$A:$A,Player_Mode_Profile!$T:$T)))</f>
        <v>6.7784516589368534E-3</v>
      </c>
      <c r="J72" s="14">
        <f>(_xlfn.XLOOKUP($A72,Player_Mode_Profile!$A:$A,Player_Mode_Profile!S:S)/(_xlfn.XLOOKUP($A72,Player_Mode_Profile!$A:$A,Player_Mode_Profile!$T:$T)))</f>
        <v>0.17552622190510167</v>
      </c>
    </row>
    <row r="73" spans="1:10" x14ac:dyDescent="0.25">
      <c r="A73" t="str">
        <f>Player_Mode_Profile!A73</f>
        <v>RyShack_</v>
      </c>
      <c r="B73">
        <v>717</v>
      </c>
      <c r="C73" s="13">
        <f>Player_Class_Profile!D73/Player_Class_Profile!H73</f>
        <v>0.29805996472663138</v>
      </c>
      <c r="D73" s="10">
        <f>Player_Class_Profile!E73/Player_Class_Profile!H73</f>
        <v>0.23809523809523808</v>
      </c>
      <c r="E73" s="10">
        <f>Player_Class_Profile!F73/Player_Class_Profile!H73</f>
        <v>0.3421516754850088</v>
      </c>
      <c r="F73" s="10">
        <f>Player_Class_Profile!G73/Player_Class_Profile!H73</f>
        <v>0.12169312169312169</v>
      </c>
      <c r="G73" s="13">
        <f>(_xlfn.XLOOKUP($A73,Player_Mode_Profile!$A:$A,Player_Mode_Profile!P:P)/(_xlfn.XLOOKUP($A73,Player_Mode_Profile!$A:$A,Player_Mode_Profile!$T:$T)))</f>
        <v>0.95003620564808111</v>
      </c>
      <c r="H73" s="14">
        <f>(_xlfn.XLOOKUP($A73,Player_Mode_Profile!$A:$A,Player_Mode_Profile!Q:Q)/(_xlfn.XLOOKUP($A73,Player_Mode_Profile!$A:$A,Player_Mode_Profile!$T:$T)))</f>
        <v>1.6292541636495295E-2</v>
      </c>
      <c r="I73" s="14">
        <f>(_xlfn.XLOOKUP($A73,Player_Mode_Profile!$A:$A,Player_Mode_Profile!R:R)/(_xlfn.XLOOKUP($A73,Player_Mode_Profile!$A:$A,Player_Mode_Profile!$T:$T)))</f>
        <v>3.1136857349746562E-2</v>
      </c>
      <c r="J73" s="14">
        <f>(_xlfn.XLOOKUP($A73,Player_Mode_Profile!$A:$A,Player_Mode_Profile!S:S)/(_xlfn.XLOOKUP($A73,Player_Mode_Profile!$A:$A,Player_Mode_Profile!$T:$T)))</f>
        <v>2.5343953656770456E-3</v>
      </c>
    </row>
    <row r="74" spans="1:10" x14ac:dyDescent="0.25">
      <c r="A74" t="str">
        <f>Player_Mode_Profile!A74</f>
        <v>Kekko190384</v>
      </c>
      <c r="B74">
        <v>727</v>
      </c>
      <c r="C74" s="13">
        <f>Player_Class_Profile!D74/Player_Class_Profile!H74</f>
        <v>0.28813559322033899</v>
      </c>
      <c r="D74" s="10">
        <f>Player_Class_Profile!E74/Player_Class_Profile!H74</f>
        <v>0.3192090395480226</v>
      </c>
      <c r="E74" s="10">
        <f>Player_Class_Profile!F74/Player_Class_Profile!H74</f>
        <v>0.17231638418079095</v>
      </c>
      <c r="F74" s="10">
        <f>Player_Class_Profile!G74/Player_Class_Profile!H74</f>
        <v>0.22033898305084745</v>
      </c>
      <c r="G74" s="13">
        <f>(_xlfn.XLOOKUP($A74,Player_Mode_Profile!$A:$A,Player_Mode_Profile!P:P)/(_xlfn.XLOOKUP($A74,Player_Mode_Profile!$A:$A,Player_Mode_Profile!$T:$T)))</f>
        <v>0.32396694214876032</v>
      </c>
      <c r="H74" s="14">
        <f>(_xlfn.XLOOKUP($A74,Player_Mode_Profile!$A:$A,Player_Mode_Profile!Q:Q)/(_xlfn.XLOOKUP($A74,Player_Mode_Profile!$A:$A,Player_Mode_Profile!$T:$T)))</f>
        <v>0.44077134986225897</v>
      </c>
      <c r="I74" s="14">
        <f>(_xlfn.XLOOKUP($A74,Player_Mode_Profile!$A:$A,Player_Mode_Profile!R:R)/(_xlfn.XLOOKUP($A74,Player_Mode_Profile!$A:$A,Player_Mode_Profile!$T:$T)))</f>
        <v>0.21763085399449036</v>
      </c>
      <c r="J74" s="14">
        <f>(_xlfn.XLOOKUP($A74,Player_Mode_Profile!$A:$A,Player_Mode_Profile!S:S)/(_xlfn.XLOOKUP($A74,Player_Mode_Profile!$A:$A,Player_Mode_Profile!$T:$T)))</f>
        <v>1.7630853994490357E-2</v>
      </c>
    </row>
    <row r="75" spans="1:10" x14ac:dyDescent="0.25">
      <c r="A75" t="str">
        <f>Player_Mode_Profile!A75</f>
        <v>OCTOGUE</v>
      </c>
      <c r="B75">
        <v>737</v>
      </c>
      <c r="C75" s="13">
        <f>Player_Class_Profile!D75/Player_Class_Profile!H75</f>
        <v>0.2478386167146974</v>
      </c>
      <c r="D75" s="10">
        <f>Player_Class_Profile!E75/Player_Class_Profile!H75</f>
        <v>2.8818443804034581E-2</v>
      </c>
      <c r="E75" s="10">
        <f>Player_Class_Profile!F75/Player_Class_Profile!H75</f>
        <v>1.1527377521613832E-2</v>
      </c>
      <c r="F75" s="10">
        <f>Player_Class_Profile!G75/Player_Class_Profile!H75</f>
        <v>0.71181556195965423</v>
      </c>
      <c r="G75" s="13">
        <f>(_xlfn.XLOOKUP($A75,Player_Mode_Profile!$A:$A,Player_Mode_Profile!P:P)/(_xlfn.XLOOKUP($A75,Player_Mode_Profile!$A:$A,Player_Mode_Profile!$T:$T)))</f>
        <v>3.4215622982569402E-2</v>
      </c>
      <c r="H75" s="14">
        <f>(_xlfn.XLOOKUP($A75,Player_Mode_Profile!$A:$A,Player_Mode_Profile!Q:Q)/(_xlfn.XLOOKUP($A75,Player_Mode_Profile!$A:$A,Player_Mode_Profile!$T:$T)))</f>
        <v>0.60103292446739831</v>
      </c>
      <c r="I75" s="14">
        <f>(_xlfn.XLOOKUP($A75,Player_Mode_Profile!$A:$A,Player_Mode_Profile!R:R)/(_xlfn.XLOOKUP($A75,Player_Mode_Profile!$A:$A,Player_Mode_Profile!$T:$T)))</f>
        <v>0.36023240800516459</v>
      </c>
      <c r="J75" s="14">
        <f>(_xlfn.XLOOKUP($A75,Player_Mode_Profile!$A:$A,Player_Mode_Profile!S:S)/(_xlfn.XLOOKUP($A75,Player_Mode_Profile!$A:$A,Player_Mode_Profile!$T:$T)))</f>
        <v>4.5190445448676569E-3</v>
      </c>
    </row>
    <row r="76" spans="1:10" x14ac:dyDescent="0.25">
      <c r="A76" t="str">
        <f>Player_Mode_Profile!A76</f>
        <v>lowkeylui</v>
      </c>
      <c r="B76">
        <v>747</v>
      </c>
      <c r="C76" s="13">
        <f>Player_Class_Profile!D76/Player_Class_Profile!H76</f>
        <v>0.40416666666666667</v>
      </c>
      <c r="D76" s="10">
        <f>Player_Class_Profile!E76/Player_Class_Profile!H76</f>
        <v>0.22916666666666666</v>
      </c>
      <c r="E76" s="10">
        <f>Player_Class_Profile!F76/Player_Class_Profile!H76</f>
        <v>6.6666666666666666E-2</v>
      </c>
      <c r="F76" s="10">
        <f>Player_Class_Profile!G76/Player_Class_Profile!H76</f>
        <v>0.3</v>
      </c>
      <c r="G76" s="13">
        <f>(_xlfn.XLOOKUP($A76,Player_Mode_Profile!$A:$A,Player_Mode_Profile!P:P)/(_xlfn.XLOOKUP($A76,Player_Mode_Profile!$A:$A,Player_Mode_Profile!$T:$T)))</f>
        <v>9.5108695652173919E-2</v>
      </c>
      <c r="H76" s="14">
        <f>(_xlfn.XLOOKUP($A76,Player_Mode_Profile!$A:$A,Player_Mode_Profile!Q:Q)/(_xlfn.XLOOKUP($A76,Player_Mode_Profile!$A:$A,Player_Mode_Profile!$T:$T)))</f>
        <v>0.11865942028985507</v>
      </c>
      <c r="I76" s="14">
        <f>(_xlfn.XLOOKUP($A76,Player_Mode_Profile!$A:$A,Player_Mode_Profile!R:R)/(_xlfn.XLOOKUP($A76,Player_Mode_Profile!$A:$A,Player_Mode_Profile!$T:$T)))</f>
        <v>0.78260869565217395</v>
      </c>
      <c r="J76" s="14">
        <f>(_xlfn.XLOOKUP($A76,Player_Mode_Profile!$A:$A,Player_Mode_Profile!S:S)/(_xlfn.XLOOKUP($A76,Player_Mode_Profile!$A:$A,Player_Mode_Profile!$T:$T)))</f>
        <v>3.6231884057971015E-3</v>
      </c>
    </row>
    <row r="77" spans="1:10" x14ac:dyDescent="0.25">
      <c r="A77" t="str">
        <f>Player_Mode_Profile!A77</f>
        <v>KruTcH</v>
      </c>
      <c r="B77">
        <v>757</v>
      </c>
      <c r="C77" s="13">
        <f>Player_Class_Profile!D77/Player_Class_Profile!H77</f>
        <v>0.32793522267206476</v>
      </c>
      <c r="D77" s="10">
        <f>Player_Class_Profile!E77/Player_Class_Profile!H77</f>
        <v>0.25708502024291496</v>
      </c>
      <c r="E77" s="10">
        <f>Player_Class_Profile!F77/Player_Class_Profile!H77</f>
        <v>0.25303643724696356</v>
      </c>
      <c r="F77" s="10">
        <f>Player_Class_Profile!G77/Player_Class_Profile!H77</f>
        <v>0.16194331983805668</v>
      </c>
      <c r="G77" s="13">
        <f>(_xlfn.XLOOKUP($A77,Player_Mode_Profile!$A:$A,Player_Mode_Profile!P:P)/(_xlfn.XLOOKUP($A77,Player_Mode_Profile!$A:$A,Player_Mode_Profile!$T:$T)))</f>
        <v>0.32941176470588235</v>
      </c>
      <c r="H77" s="14">
        <f>(_xlfn.XLOOKUP($A77,Player_Mode_Profile!$A:$A,Player_Mode_Profile!Q:Q)/(_xlfn.XLOOKUP($A77,Player_Mode_Profile!$A:$A,Player_Mode_Profile!$T:$T)))</f>
        <v>0.41054766734279918</v>
      </c>
      <c r="I77" s="14">
        <f>(_xlfn.XLOOKUP($A77,Player_Mode_Profile!$A:$A,Player_Mode_Profile!R:R)/(_xlfn.XLOOKUP($A77,Player_Mode_Profile!$A:$A,Player_Mode_Profile!$T:$T)))</f>
        <v>0.22352941176470589</v>
      </c>
      <c r="J77" s="14">
        <f>(_xlfn.XLOOKUP($A77,Player_Mode_Profile!$A:$A,Player_Mode_Profile!S:S)/(_xlfn.XLOOKUP($A77,Player_Mode_Profile!$A:$A,Player_Mode_Profile!$T:$T)))</f>
        <v>3.6511156186612576E-2</v>
      </c>
    </row>
    <row r="78" spans="1:10" x14ac:dyDescent="0.25">
      <c r="A78" t="str">
        <f>Player_Mode_Profile!A78</f>
        <v>Casios</v>
      </c>
      <c r="B78">
        <v>767</v>
      </c>
      <c r="C78" s="13">
        <f>Player_Class_Profile!D78/Player_Class_Profile!H78</f>
        <v>0.19363395225464192</v>
      </c>
      <c r="D78" s="10">
        <f>Player_Class_Profile!E78/Player_Class_Profile!H78</f>
        <v>0.48010610079575594</v>
      </c>
      <c r="E78" s="10">
        <f>Player_Class_Profile!F78/Player_Class_Profile!H78</f>
        <v>0.1273209549071618</v>
      </c>
      <c r="F78" s="10">
        <f>Player_Class_Profile!G78/Player_Class_Profile!H78</f>
        <v>0.19893899204244031</v>
      </c>
      <c r="G78" s="13">
        <f>(_xlfn.XLOOKUP($A78,Player_Mode_Profile!$A:$A,Player_Mode_Profile!P:P)/(_xlfn.XLOOKUP($A78,Player_Mode_Profile!$A:$A,Player_Mode_Profile!$T:$T)))</f>
        <v>0.43636363636363634</v>
      </c>
      <c r="H78" s="14">
        <f>(_xlfn.XLOOKUP($A78,Player_Mode_Profile!$A:$A,Player_Mode_Profile!Q:Q)/(_xlfn.XLOOKUP($A78,Player_Mode_Profile!$A:$A,Player_Mode_Profile!$T:$T)))</f>
        <v>0.40044345898004435</v>
      </c>
      <c r="I78" s="14">
        <f>(_xlfn.XLOOKUP($A78,Player_Mode_Profile!$A:$A,Player_Mode_Profile!R:R)/(_xlfn.XLOOKUP($A78,Player_Mode_Profile!$A:$A,Player_Mode_Profile!$T:$T)))</f>
        <v>8.2483370288248342E-2</v>
      </c>
      <c r="J78" s="14">
        <f>(_xlfn.XLOOKUP($A78,Player_Mode_Profile!$A:$A,Player_Mode_Profile!S:S)/(_xlfn.XLOOKUP($A78,Player_Mode_Profile!$A:$A,Player_Mode_Profile!$T:$T)))</f>
        <v>8.0709534368070948E-2</v>
      </c>
    </row>
    <row r="79" spans="1:10" x14ac:dyDescent="0.25">
      <c r="A79" t="str">
        <f>Player_Mode_Profile!A79</f>
        <v>Icer112</v>
      </c>
      <c r="B79">
        <v>777</v>
      </c>
      <c r="C79" s="13">
        <f>Player_Class_Profile!D79/Player_Class_Profile!H79</f>
        <v>0.21030927835051547</v>
      </c>
      <c r="D79" s="10">
        <f>Player_Class_Profile!E79/Player_Class_Profile!H79</f>
        <v>0.47835051546391755</v>
      </c>
      <c r="E79" s="10">
        <f>Player_Class_Profile!F79/Player_Class_Profile!H79</f>
        <v>7.2164948453608241E-2</v>
      </c>
      <c r="F79" s="10">
        <f>Player_Class_Profile!G79/Player_Class_Profile!H79</f>
        <v>0.23917525773195877</v>
      </c>
      <c r="G79" s="13">
        <f>(_xlfn.XLOOKUP($A79,Player_Mode_Profile!$A:$A,Player_Mode_Profile!P:P)/(_xlfn.XLOOKUP($A79,Player_Mode_Profile!$A:$A,Player_Mode_Profile!$T:$T)))</f>
        <v>0.2179261862917399</v>
      </c>
      <c r="H79" s="14">
        <f>(_xlfn.XLOOKUP($A79,Player_Mode_Profile!$A:$A,Player_Mode_Profile!Q:Q)/(_xlfn.XLOOKUP($A79,Player_Mode_Profile!$A:$A,Player_Mode_Profile!$T:$T)))</f>
        <v>6.5026362038664326E-2</v>
      </c>
      <c r="I79" s="14">
        <f>(_xlfn.XLOOKUP($A79,Player_Mode_Profile!$A:$A,Player_Mode_Profile!R:R)/(_xlfn.XLOOKUP($A79,Player_Mode_Profile!$A:$A,Player_Mode_Profile!$T:$T)))</f>
        <v>0.36731107205623903</v>
      </c>
      <c r="J79" s="14">
        <f>(_xlfn.XLOOKUP($A79,Player_Mode_Profile!$A:$A,Player_Mode_Profile!S:S)/(_xlfn.XLOOKUP($A79,Player_Mode_Profile!$A:$A,Player_Mode_Profile!$T:$T)))</f>
        <v>0.34973637961335674</v>
      </c>
    </row>
    <row r="80" spans="1:10" x14ac:dyDescent="0.25">
      <c r="A80" t="str">
        <f>Player_Mode_Profile!A80</f>
        <v>Rhyno.Dios</v>
      </c>
      <c r="B80">
        <v>787</v>
      </c>
      <c r="C80" s="13">
        <f>Player_Class_Profile!D80/Player_Class_Profile!H80</f>
        <v>0.12268518518518519</v>
      </c>
      <c r="D80" s="10">
        <f>Player_Class_Profile!E80/Player_Class_Profile!H80</f>
        <v>0.24768518518518517</v>
      </c>
      <c r="E80" s="10">
        <f>Player_Class_Profile!F80/Player_Class_Profile!H80</f>
        <v>0.43518518518518517</v>
      </c>
      <c r="F80" s="10">
        <f>Player_Class_Profile!G80/Player_Class_Profile!H80</f>
        <v>0.19444444444444445</v>
      </c>
      <c r="G80" s="13">
        <f>(_xlfn.XLOOKUP($A80,Player_Mode_Profile!$A:$A,Player_Mode_Profile!P:P)/(_xlfn.XLOOKUP($A80,Player_Mode_Profile!$A:$A,Player_Mode_Profile!$T:$T)))</f>
        <v>0.59799453053783047</v>
      </c>
      <c r="H80" s="14">
        <f>(_xlfn.XLOOKUP($A80,Player_Mode_Profile!$A:$A,Player_Mode_Profile!Q:Q)/(_xlfn.XLOOKUP($A80,Player_Mode_Profile!$A:$A,Player_Mode_Profile!$T:$T)))</f>
        <v>0.2406563354603464</v>
      </c>
      <c r="I80" s="14">
        <f>(_xlfn.XLOOKUP($A80,Player_Mode_Profile!$A:$A,Player_Mode_Profile!R:R)/(_xlfn.XLOOKUP($A80,Player_Mode_Profile!$A:$A,Player_Mode_Profile!$T:$T)))</f>
        <v>0.11440291704649043</v>
      </c>
      <c r="J80" s="14">
        <f>(_xlfn.XLOOKUP($A80,Player_Mode_Profile!$A:$A,Player_Mode_Profile!S:S)/(_xlfn.XLOOKUP($A80,Player_Mode_Profile!$A:$A,Player_Mode_Profile!$T:$T)))</f>
        <v>4.6946216955332729E-2</v>
      </c>
    </row>
    <row r="81" spans="1:10" x14ac:dyDescent="0.25">
      <c r="A81" t="str">
        <f>Player_Mode_Profile!A81</f>
        <v>I8I HECTOR I8I</v>
      </c>
      <c r="B81">
        <v>797</v>
      </c>
      <c r="C81" s="13">
        <f>Player_Class_Profile!D81/Player_Class_Profile!H81</f>
        <v>0.1905940594059406</v>
      </c>
      <c r="D81" s="10">
        <f>Player_Class_Profile!E81/Player_Class_Profile!H81</f>
        <v>0.3589108910891089</v>
      </c>
      <c r="E81" s="10">
        <f>Player_Class_Profile!F81/Player_Class_Profile!H81</f>
        <v>0.11633663366336634</v>
      </c>
      <c r="F81" s="10">
        <f>Player_Class_Profile!G81/Player_Class_Profile!H81</f>
        <v>0.33415841584158418</v>
      </c>
      <c r="G81" s="13">
        <f>(_xlfn.XLOOKUP($A81,Player_Mode_Profile!$A:$A,Player_Mode_Profile!P:P)/(_xlfn.XLOOKUP($A81,Player_Mode_Profile!$A:$A,Player_Mode_Profile!$T:$T)))</f>
        <v>0.4563206577595067</v>
      </c>
      <c r="H81" s="14">
        <f>(_xlfn.XLOOKUP($A81,Player_Mode_Profile!$A:$A,Player_Mode_Profile!Q:Q)/(_xlfn.XLOOKUP($A81,Player_Mode_Profile!$A:$A,Player_Mode_Profile!$T:$T)))</f>
        <v>3.8026721479958892E-2</v>
      </c>
      <c r="I81" s="14">
        <f>(_xlfn.XLOOKUP($A81,Player_Mode_Profile!$A:$A,Player_Mode_Profile!R:R)/(_xlfn.XLOOKUP($A81,Player_Mode_Profile!$A:$A,Player_Mode_Profile!$T:$T)))</f>
        <v>0.30215827338129497</v>
      </c>
      <c r="J81" s="14">
        <f>(_xlfn.XLOOKUP($A81,Player_Mode_Profile!$A:$A,Player_Mode_Profile!S:S)/(_xlfn.XLOOKUP($A81,Player_Mode_Profile!$A:$A,Player_Mode_Profile!$T:$T)))</f>
        <v>0.20349434737923947</v>
      </c>
    </row>
    <row r="82" spans="1:10" x14ac:dyDescent="0.25">
      <c r="A82" t="str">
        <f>Player_Mode_Profile!A82</f>
        <v>Rayxbandzx</v>
      </c>
      <c r="B82">
        <v>807</v>
      </c>
      <c r="C82" s="13">
        <f>Player_Class_Profile!D82/Player_Class_Profile!H82</f>
        <v>0.14534883720930233</v>
      </c>
      <c r="D82" s="10">
        <f>Player_Class_Profile!E82/Player_Class_Profile!H82</f>
        <v>0.62209302325581395</v>
      </c>
      <c r="E82" s="10">
        <f>Player_Class_Profile!F82/Player_Class_Profile!H82</f>
        <v>0.10174418604651163</v>
      </c>
      <c r="F82" s="10">
        <f>Player_Class_Profile!G82/Player_Class_Profile!H82</f>
        <v>0.1308139534883721</v>
      </c>
      <c r="G82" s="13">
        <f>(_xlfn.XLOOKUP($A82,Player_Mode_Profile!$A:$A,Player_Mode_Profile!P:P)/(_xlfn.XLOOKUP($A82,Player_Mode_Profile!$A:$A,Player_Mode_Profile!$T:$T)))</f>
        <v>0.30045721750489873</v>
      </c>
      <c r="H82" s="14">
        <f>(_xlfn.XLOOKUP($A82,Player_Mode_Profile!$A:$A,Player_Mode_Profile!Q:Q)/(_xlfn.XLOOKUP($A82,Player_Mode_Profile!$A:$A,Player_Mode_Profile!$T:$T)))</f>
        <v>2.5473546701502287E-2</v>
      </c>
      <c r="I82" s="14">
        <f>(_xlfn.XLOOKUP($A82,Player_Mode_Profile!$A:$A,Player_Mode_Profile!R:R)/(_xlfn.XLOOKUP($A82,Player_Mode_Profile!$A:$A,Player_Mode_Profile!$T:$T)))</f>
        <v>0.65382103200522534</v>
      </c>
      <c r="J82" s="14">
        <f>(_xlfn.XLOOKUP($A82,Player_Mode_Profile!$A:$A,Player_Mode_Profile!S:S)/(_xlfn.XLOOKUP($A82,Player_Mode_Profile!$A:$A,Player_Mode_Profile!$T:$T)))</f>
        <v>2.0248203788373612E-2</v>
      </c>
    </row>
    <row r="83" spans="1:10" x14ac:dyDescent="0.25">
      <c r="A83" t="str">
        <f>Player_Mode_Profile!A83</f>
        <v>Boo89_Hu</v>
      </c>
      <c r="B83">
        <v>817</v>
      </c>
      <c r="C83" s="13">
        <f>Player_Class_Profile!D83/Player_Class_Profile!H83</f>
        <v>3.7542662116040959E-2</v>
      </c>
      <c r="D83" s="10">
        <f>Player_Class_Profile!E83/Player_Class_Profile!H83</f>
        <v>4.0955631399317405E-2</v>
      </c>
      <c r="E83" s="10">
        <f>Player_Class_Profile!F83/Player_Class_Profile!H83</f>
        <v>0.46928327645051193</v>
      </c>
      <c r="F83" s="10">
        <f>Player_Class_Profile!G83/Player_Class_Profile!H83</f>
        <v>0.4522184300341297</v>
      </c>
      <c r="G83" s="13">
        <f>(_xlfn.XLOOKUP($A83,Player_Mode_Profile!$A:$A,Player_Mode_Profile!P:P)/(_xlfn.XLOOKUP($A83,Player_Mode_Profile!$A:$A,Player_Mode_Profile!$T:$T)))</f>
        <v>0.13692256563642405</v>
      </c>
      <c r="H83" s="14">
        <f>(_xlfn.XLOOKUP($A83,Player_Mode_Profile!$A:$A,Player_Mode_Profile!Q:Q)/(_xlfn.XLOOKUP($A83,Player_Mode_Profile!$A:$A,Player_Mode_Profile!$T:$T)))</f>
        <v>0.35626453971419075</v>
      </c>
      <c r="I83" s="14">
        <f>(_xlfn.XLOOKUP($A83,Player_Mode_Profile!$A:$A,Player_Mode_Profile!R:R)/(_xlfn.XLOOKUP($A83,Player_Mode_Profile!$A:$A,Player_Mode_Profile!$T:$T)))</f>
        <v>0.15520106347623797</v>
      </c>
      <c r="J83" s="14">
        <f>(_xlfn.XLOOKUP($A83,Player_Mode_Profile!$A:$A,Player_Mode_Profile!S:S)/(_xlfn.XLOOKUP($A83,Player_Mode_Profile!$A:$A,Player_Mode_Profile!$T:$T)))</f>
        <v>0.3516118311731472</v>
      </c>
    </row>
    <row r="84" spans="1:10" x14ac:dyDescent="0.25">
      <c r="A84" t="str">
        <f>Player_Mode_Profile!A84</f>
        <v>女aBDULLAH15n</v>
      </c>
      <c r="B84">
        <v>827</v>
      </c>
      <c r="C84" s="13">
        <f>Player_Class_Profile!D84/Player_Class_Profile!H84</f>
        <v>0.26300578034682082</v>
      </c>
      <c r="D84" s="10">
        <f>Player_Class_Profile!E84/Player_Class_Profile!H84</f>
        <v>0.1791907514450867</v>
      </c>
      <c r="E84" s="10">
        <f>Player_Class_Profile!F84/Player_Class_Profile!H84</f>
        <v>0.25433526011560692</v>
      </c>
      <c r="F84" s="10">
        <f>Player_Class_Profile!G84/Player_Class_Profile!H84</f>
        <v>0.30346820809248554</v>
      </c>
      <c r="G84" s="13">
        <f>(_xlfn.XLOOKUP($A84,Player_Mode_Profile!$A:$A,Player_Mode_Profile!P:P)/(_xlfn.XLOOKUP($A84,Player_Mode_Profile!$A:$A,Player_Mode_Profile!$T:$T)))</f>
        <v>2.2075055187637971E-2</v>
      </c>
      <c r="H84" s="14">
        <f>(_xlfn.XLOOKUP($A84,Player_Mode_Profile!$A:$A,Player_Mode_Profile!Q:Q)/(_xlfn.XLOOKUP($A84,Player_Mode_Profile!$A:$A,Player_Mode_Profile!$T:$T)))</f>
        <v>0.97350993377483441</v>
      </c>
      <c r="I84" s="14">
        <f>(_xlfn.XLOOKUP($A84,Player_Mode_Profile!$A:$A,Player_Mode_Profile!R:R)/(_xlfn.XLOOKUP($A84,Player_Mode_Profile!$A:$A,Player_Mode_Profile!$T:$T)))</f>
        <v>4.4150110375275938E-3</v>
      </c>
      <c r="J84" s="14">
        <f>(_xlfn.XLOOKUP($A84,Player_Mode_Profile!$A:$A,Player_Mode_Profile!S:S)/(_xlfn.XLOOKUP($A84,Player_Mode_Profile!$A:$A,Player_Mode_Profile!$T:$T)))</f>
        <v>0</v>
      </c>
    </row>
    <row r="85" spans="1:10" x14ac:dyDescent="0.25">
      <c r="A85" t="str">
        <f>Player_Mode_Profile!A85</f>
        <v>Loogiboii</v>
      </c>
      <c r="B85">
        <v>837</v>
      </c>
      <c r="C85" s="13">
        <f>Player_Class_Profile!D85/Player_Class_Profile!H85</f>
        <v>0.16444444444444445</v>
      </c>
      <c r="D85" s="10">
        <f>Player_Class_Profile!E85/Player_Class_Profile!H85</f>
        <v>0.20666666666666667</v>
      </c>
      <c r="E85" s="10">
        <f>Player_Class_Profile!F85/Player_Class_Profile!H85</f>
        <v>0.42888888888888888</v>
      </c>
      <c r="F85" s="10">
        <f>Player_Class_Profile!G85/Player_Class_Profile!H85</f>
        <v>0.2</v>
      </c>
      <c r="G85" s="13">
        <f>(_xlfn.XLOOKUP($A85,Player_Mode_Profile!$A:$A,Player_Mode_Profile!P:P)/(_xlfn.XLOOKUP($A85,Player_Mode_Profile!$A:$A,Player_Mode_Profile!$T:$T)))</f>
        <v>0.10016220600162205</v>
      </c>
      <c r="H85" s="14">
        <f>(_xlfn.XLOOKUP($A85,Player_Mode_Profile!$A:$A,Player_Mode_Profile!Q:Q)/(_xlfn.XLOOKUP($A85,Player_Mode_Profile!$A:$A,Player_Mode_Profile!$T:$T)))</f>
        <v>0.46350364963503649</v>
      </c>
      <c r="I85" s="14">
        <f>(_xlfn.XLOOKUP($A85,Player_Mode_Profile!$A:$A,Player_Mode_Profile!R:R)/(_xlfn.XLOOKUP($A85,Player_Mode_Profile!$A:$A,Player_Mode_Profile!$T:$T)))</f>
        <v>0.25790754257907544</v>
      </c>
      <c r="J85" s="14">
        <f>(_xlfn.XLOOKUP($A85,Player_Mode_Profile!$A:$A,Player_Mode_Profile!S:S)/(_xlfn.XLOOKUP($A85,Player_Mode_Profile!$A:$A,Player_Mode_Profile!$T:$T)))</f>
        <v>0.17842660178426603</v>
      </c>
    </row>
    <row r="86" spans="1:10" x14ac:dyDescent="0.25">
      <c r="A86" t="str">
        <f>Player_Mode_Profile!A86</f>
        <v>若葉 睦 Ave Mujica</v>
      </c>
      <c r="B86">
        <v>847</v>
      </c>
      <c r="C86" s="13">
        <f>Player_Class_Profile!D86/Player_Class_Profile!H86</f>
        <v>0.40683229813664595</v>
      </c>
      <c r="D86" s="10">
        <f>Player_Class_Profile!E86/Player_Class_Profile!H86</f>
        <v>4.3478260869565216E-2</v>
      </c>
      <c r="E86" s="10">
        <f>Player_Class_Profile!F86/Player_Class_Profile!H86</f>
        <v>2.4844720496894408E-2</v>
      </c>
      <c r="F86" s="10">
        <f>Player_Class_Profile!G86/Player_Class_Profile!H86</f>
        <v>0.52484472049689446</v>
      </c>
      <c r="G86" s="13">
        <f>(_xlfn.XLOOKUP($A86,Player_Mode_Profile!$A:$A,Player_Mode_Profile!P:P)/(_xlfn.XLOOKUP($A86,Player_Mode_Profile!$A:$A,Player_Mode_Profile!$T:$T)))</f>
        <v>0.4049493813273341</v>
      </c>
      <c r="H86" s="14">
        <f>(_xlfn.XLOOKUP($A86,Player_Mode_Profile!$A:$A,Player_Mode_Profile!Q:Q)/(_xlfn.XLOOKUP($A86,Player_Mode_Profile!$A:$A,Player_Mode_Profile!$T:$T)))</f>
        <v>0.48818897637795278</v>
      </c>
      <c r="I86" s="14">
        <f>(_xlfn.XLOOKUP($A86,Player_Mode_Profile!$A:$A,Player_Mode_Profile!R:R)/(_xlfn.XLOOKUP($A86,Player_Mode_Profile!$A:$A,Player_Mode_Profile!$T:$T)))</f>
        <v>9.392575928008999E-2</v>
      </c>
      <c r="J86" s="14">
        <f>(_xlfn.XLOOKUP($A86,Player_Mode_Profile!$A:$A,Player_Mode_Profile!S:S)/(_xlfn.XLOOKUP($A86,Player_Mode_Profile!$A:$A,Player_Mode_Profile!$T:$T)))</f>
        <v>1.2935883014623173E-2</v>
      </c>
    </row>
    <row r="87" spans="1:10" x14ac:dyDescent="0.25">
      <c r="A87" t="str">
        <f>Player_Mode_Profile!A87</f>
        <v>XxGriZzledVeTxX</v>
      </c>
      <c r="B87">
        <v>857</v>
      </c>
      <c r="C87" s="13">
        <f>Player_Class_Profile!D87/Player_Class_Profile!H87</f>
        <v>0.17156862745098039</v>
      </c>
      <c r="D87" s="10">
        <f>Player_Class_Profile!E87/Player_Class_Profile!H87</f>
        <v>0.23039215686274508</v>
      </c>
      <c r="E87" s="10">
        <f>Player_Class_Profile!F87/Player_Class_Profile!H87</f>
        <v>0.47303921568627449</v>
      </c>
      <c r="F87" s="10">
        <f>Player_Class_Profile!G87/Player_Class_Profile!H87</f>
        <v>0.125</v>
      </c>
      <c r="G87" s="13">
        <f>(_xlfn.XLOOKUP($A87,Player_Mode_Profile!$A:$A,Player_Mode_Profile!P:P)/(_xlfn.XLOOKUP($A87,Player_Mode_Profile!$A:$A,Player_Mode_Profile!$T:$T)))</f>
        <v>0.70466321243523311</v>
      </c>
      <c r="H87" s="14">
        <f>(_xlfn.XLOOKUP($A87,Player_Mode_Profile!$A:$A,Player_Mode_Profile!Q:Q)/(_xlfn.XLOOKUP($A87,Player_Mode_Profile!$A:$A,Player_Mode_Profile!$T:$T)))</f>
        <v>0.13471502590673576</v>
      </c>
      <c r="I87" s="14">
        <f>(_xlfn.XLOOKUP($A87,Player_Mode_Profile!$A:$A,Player_Mode_Profile!R:R)/(_xlfn.XLOOKUP($A87,Player_Mode_Profile!$A:$A,Player_Mode_Profile!$T:$T)))</f>
        <v>0.15544041450777202</v>
      </c>
      <c r="J87" s="14">
        <f>(_xlfn.XLOOKUP($A87,Player_Mode_Profile!$A:$A,Player_Mode_Profile!S:S)/(_xlfn.XLOOKUP($A87,Player_Mode_Profile!$A:$A,Player_Mode_Profile!$T:$T)))</f>
        <v>5.1813471502590676E-3</v>
      </c>
    </row>
    <row r="88" spans="1:10" x14ac:dyDescent="0.25">
      <c r="A88" t="str">
        <f>Player_Mode_Profile!A88</f>
        <v>stevenfett</v>
      </c>
      <c r="B88">
        <v>867</v>
      </c>
      <c r="C88" s="13">
        <f>Player_Class_Profile!D88/Player_Class_Profile!H88</f>
        <v>4.7325102880658436E-2</v>
      </c>
      <c r="D88" s="10">
        <f>Player_Class_Profile!E88/Player_Class_Profile!H88</f>
        <v>0.10699588477366255</v>
      </c>
      <c r="E88" s="10">
        <f>Player_Class_Profile!F88/Player_Class_Profile!H88</f>
        <v>0.19341563786008231</v>
      </c>
      <c r="F88" s="10">
        <f>Player_Class_Profile!G88/Player_Class_Profile!H88</f>
        <v>0.65226337448559668</v>
      </c>
      <c r="G88" s="13">
        <f>(_xlfn.XLOOKUP($A88,Player_Mode_Profile!$A:$A,Player_Mode_Profile!P:P)/(_xlfn.XLOOKUP($A88,Player_Mode_Profile!$A:$A,Player_Mode_Profile!$T:$T)))</f>
        <v>0.27189542483660128</v>
      </c>
      <c r="H88" s="14">
        <f>(_xlfn.XLOOKUP($A88,Player_Mode_Profile!$A:$A,Player_Mode_Profile!Q:Q)/(_xlfn.XLOOKUP($A88,Player_Mode_Profile!$A:$A,Player_Mode_Profile!$T:$T)))</f>
        <v>0.42178649237472765</v>
      </c>
      <c r="I88" s="14">
        <f>(_xlfn.XLOOKUP($A88,Player_Mode_Profile!$A:$A,Player_Mode_Profile!R:R)/(_xlfn.XLOOKUP($A88,Player_Mode_Profile!$A:$A,Player_Mode_Profile!$T:$T)))</f>
        <v>0.29411764705882354</v>
      </c>
      <c r="J88" s="14">
        <f>(_xlfn.XLOOKUP($A88,Player_Mode_Profile!$A:$A,Player_Mode_Profile!S:S)/(_xlfn.XLOOKUP($A88,Player_Mode_Profile!$A:$A,Player_Mode_Profile!$T:$T)))</f>
        <v>1.2200435729847494E-2</v>
      </c>
    </row>
    <row r="89" spans="1:10" x14ac:dyDescent="0.25">
      <c r="A89" t="str">
        <f>Player_Mode_Profile!A89</f>
        <v>Czarny_Pancio</v>
      </c>
      <c r="B89">
        <v>877</v>
      </c>
      <c r="C89" s="13">
        <f>Player_Class_Profile!D89/Player_Class_Profile!H89</f>
        <v>0.12188365650969529</v>
      </c>
      <c r="D89" s="10">
        <f>Player_Class_Profile!E89/Player_Class_Profile!H89</f>
        <v>0.40443213296398894</v>
      </c>
      <c r="E89" s="10">
        <f>Player_Class_Profile!F89/Player_Class_Profile!H89</f>
        <v>0.19390581717451524</v>
      </c>
      <c r="F89" s="10">
        <f>Player_Class_Profile!G89/Player_Class_Profile!H89</f>
        <v>0.27977839335180055</v>
      </c>
      <c r="G89" s="13">
        <f>(_xlfn.XLOOKUP($A89,Player_Mode_Profile!$A:$A,Player_Mode_Profile!P:P)/(_xlfn.XLOOKUP($A89,Player_Mode_Profile!$A:$A,Player_Mode_Profile!$T:$T)))</f>
        <v>0.89751098096632509</v>
      </c>
      <c r="H89" s="14">
        <f>(_xlfn.XLOOKUP($A89,Player_Mode_Profile!$A:$A,Player_Mode_Profile!Q:Q)/(_xlfn.XLOOKUP($A89,Player_Mode_Profile!$A:$A,Player_Mode_Profile!$T:$T)))</f>
        <v>2.9282576866764276E-2</v>
      </c>
      <c r="I89" s="14">
        <f>(_xlfn.XLOOKUP($A89,Player_Mode_Profile!$A:$A,Player_Mode_Profile!R:R)/(_xlfn.XLOOKUP($A89,Player_Mode_Profile!$A:$A,Player_Mode_Profile!$T:$T)))</f>
        <v>7.2718399219131286E-2</v>
      </c>
      <c r="J89" s="14">
        <f>(_xlfn.XLOOKUP($A89,Player_Mode_Profile!$A:$A,Player_Mode_Profile!S:S)/(_xlfn.XLOOKUP($A89,Player_Mode_Profile!$A:$A,Player_Mode_Profile!$T:$T)))</f>
        <v>4.880429477794046E-4</v>
      </c>
    </row>
    <row r="90" spans="1:10" x14ac:dyDescent="0.25">
      <c r="A90" t="str">
        <f>Player_Mode_Profile!A90</f>
        <v>MARQ THE BEAST</v>
      </c>
      <c r="B90">
        <v>887</v>
      </c>
      <c r="C90" s="13">
        <f>Player_Class_Profile!D90/Player_Class_Profile!H90</f>
        <v>3.1963470319634701E-2</v>
      </c>
      <c r="D90" s="10">
        <f>Player_Class_Profile!E90/Player_Class_Profile!H90</f>
        <v>0.4223744292237443</v>
      </c>
      <c r="E90" s="10">
        <f>Player_Class_Profile!F90/Player_Class_Profile!H90</f>
        <v>7.3059360730593603E-2</v>
      </c>
      <c r="F90" s="10">
        <f>Player_Class_Profile!G90/Player_Class_Profile!H90</f>
        <v>0.4726027397260274</v>
      </c>
      <c r="G90" s="13">
        <f>(_xlfn.XLOOKUP($A90,Player_Mode_Profile!$A:$A,Player_Mode_Profile!P:P)/(_xlfn.XLOOKUP($A90,Player_Mode_Profile!$A:$A,Player_Mode_Profile!$T:$T)))</f>
        <v>0.46101029916625796</v>
      </c>
      <c r="H90" s="14">
        <f>(_xlfn.XLOOKUP($A90,Player_Mode_Profile!$A:$A,Player_Mode_Profile!Q:Q)/(_xlfn.XLOOKUP($A90,Player_Mode_Profile!$A:$A,Player_Mode_Profile!$T:$T)))</f>
        <v>0.23737126042177539</v>
      </c>
      <c r="I90" s="14">
        <f>(_xlfn.XLOOKUP($A90,Player_Mode_Profile!$A:$A,Player_Mode_Profile!R:R)/(_xlfn.XLOOKUP($A90,Player_Mode_Profile!$A:$A,Player_Mode_Profile!$T:$T)))</f>
        <v>0.23344776851397744</v>
      </c>
      <c r="J90" s="14">
        <f>(_xlfn.XLOOKUP($A90,Player_Mode_Profile!$A:$A,Player_Mode_Profile!S:S)/(_xlfn.XLOOKUP($A90,Player_Mode_Profile!$A:$A,Player_Mode_Profile!$T:$T)))</f>
        <v>6.8170671897989213E-2</v>
      </c>
    </row>
    <row r="91" spans="1:10" x14ac:dyDescent="0.25">
      <c r="A91" t="str">
        <f>Player_Mode_Profile!A91</f>
        <v>MB-Wayne</v>
      </c>
      <c r="B91">
        <v>897</v>
      </c>
      <c r="C91" s="13">
        <f>Player_Class_Profile!D91/Player_Class_Profile!H91</f>
        <v>0.155893536121673</v>
      </c>
      <c r="D91" s="10">
        <f>Player_Class_Profile!E91/Player_Class_Profile!H91</f>
        <v>0.47908745247148288</v>
      </c>
      <c r="E91" s="10">
        <f>Player_Class_Profile!F91/Player_Class_Profile!H91</f>
        <v>7.2243346007604556E-2</v>
      </c>
      <c r="F91" s="10">
        <f>Player_Class_Profile!G91/Player_Class_Profile!H91</f>
        <v>0.29277566539923955</v>
      </c>
      <c r="G91" s="13">
        <f>(_xlfn.XLOOKUP($A91,Player_Mode_Profile!$A:$A,Player_Mode_Profile!P:P)/(_xlfn.XLOOKUP($A91,Player_Mode_Profile!$A:$A,Player_Mode_Profile!$T:$T)))</f>
        <v>0.54927536231884055</v>
      </c>
      <c r="H91" s="14">
        <f>(_xlfn.XLOOKUP($A91,Player_Mode_Profile!$A:$A,Player_Mode_Profile!Q:Q)/(_xlfn.XLOOKUP($A91,Player_Mode_Profile!$A:$A,Player_Mode_Profile!$T:$T)))</f>
        <v>6.1594202898550728E-2</v>
      </c>
      <c r="I91" s="14">
        <f>(_xlfn.XLOOKUP($A91,Player_Mode_Profile!$A:$A,Player_Mode_Profile!R:R)/(_xlfn.XLOOKUP($A91,Player_Mode_Profile!$A:$A,Player_Mode_Profile!$T:$T)))</f>
        <v>0.38768115942028986</v>
      </c>
      <c r="J91" s="14">
        <f>(_xlfn.XLOOKUP($A91,Player_Mode_Profile!$A:$A,Player_Mode_Profile!S:S)/(_xlfn.XLOOKUP($A91,Player_Mode_Profile!$A:$A,Player_Mode_Profile!$T:$T)))</f>
        <v>1.4492753623188406E-3</v>
      </c>
    </row>
    <row r="92" spans="1:10" x14ac:dyDescent="0.25">
      <c r="A92" t="str">
        <f>Player_Mode_Profile!A92</f>
        <v>Buchanan008</v>
      </c>
      <c r="B92">
        <v>907</v>
      </c>
      <c r="C92" s="13">
        <f>Player_Class_Profile!D92/Player_Class_Profile!H92</f>
        <v>4.5045045045045043E-2</v>
      </c>
      <c r="D92" s="10">
        <f>Player_Class_Profile!E92/Player_Class_Profile!H92</f>
        <v>0.20180180180180179</v>
      </c>
      <c r="E92" s="10">
        <f>Player_Class_Profile!F92/Player_Class_Profile!H92</f>
        <v>0.2072072072072072</v>
      </c>
      <c r="F92" s="10">
        <f>Player_Class_Profile!G92/Player_Class_Profile!H92</f>
        <v>0.54594594594594592</v>
      </c>
      <c r="G92" s="13">
        <f>(_xlfn.XLOOKUP($A92,Player_Mode_Profile!$A:$A,Player_Mode_Profile!P:P)/(_xlfn.XLOOKUP($A92,Player_Mode_Profile!$A:$A,Player_Mode_Profile!$T:$T)))</f>
        <v>0.68229354489722327</v>
      </c>
      <c r="H92" s="14">
        <f>(_xlfn.XLOOKUP($A92,Player_Mode_Profile!$A:$A,Player_Mode_Profile!Q:Q)/(_xlfn.XLOOKUP($A92,Player_Mode_Profile!$A:$A,Player_Mode_Profile!$T:$T)))</f>
        <v>0.19617742517129463</v>
      </c>
      <c r="I92" s="14">
        <f>(_xlfn.XLOOKUP($A92,Player_Mode_Profile!$A:$A,Player_Mode_Profile!R:R)/(_xlfn.XLOOKUP($A92,Player_Mode_Profile!$A:$A,Player_Mode_Profile!$T:$T)))</f>
        <v>4.3635052289938692E-2</v>
      </c>
      <c r="J92" s="14">
        <f>(_xlfn.XLOOKUP($A92,Player_Mode_Profile!$A:$A,Player_Mode_Profile!S:S)/(_xlfn.XLOOKUP($A92,Player_Mode_Profile!$A:$A,Player_Mode_Profile!$T:$T)))</f>
        <v>7.789397764154346E-2</v>
      </c>
    </row>
    <row r="93" spans="1:10" x14ac:dyDescent="0.25">
      <c r="A93" t="str">
        <f>Player_Mode_Profile!A93</f>
        <v>Q8-SHOOTER</v>
      </c>
      <c r="B93">
        <v>917</v>
      </c>
      <c r="C93" s="13">
        <f>Player_Class_Profile!D93/Player_Class_Profile!H93</f>
        <v>0.12253521126760564</v>
      </c>
      <c r="D93" s="10">
        <f>Player_Class_Profile!E93/Player_Class_Profile!H93</f>
        <v>0.15492957746478872</v>
      </c>
      <c r="E93" s="10">
        <f>Player_Class_Profile!F93/Player_Class_Profile!H93</f>
        <v>0.53661971830985911</v>
      </c>
      <c r="F93" s="10">
        <f>Player_Class_Profile!G93/Player_Class_Profile!H93</f>
        <v>0.18591549295774648</v>
      </c>
      <c r="G93" s="13">
        <f>(_xlfn.XLOOKUP($A93,Player_Mode_Profile!$A:$A,Player_Mode_Profile!P:P)/(_xlfn.XLOOKUP($A93,Player_Mode_Profile!$A:$A,Player_Mode_Profile!$T:$T)))</f>
        <v>0.11638141809290954</v>
      </c>
      <c r="H93" s="14">
        <f>(_xlfn.XLOOKUP($A93,Player_Mode_Profile!$A:$A,Player_Mode_Profile!Q:Q)/(_xlfn.XLOOKUP($A93,Player_Mode_Profile!$A:$A,Player_Mode_Profile!$T:$T)))</f>
        <v>0.85354523227383861</v>
      </c>
      <c r="I93" s="14">
        <f>(_xlfn.XLOOKUP($A93,Player_Mode_Profile!$A:$A,Player_Mode_Profile!R:R)/(_xlfn.XLOOKUP($A93,Player_Mode_Profile!$A:$A,Player_Mode_Profile!$T:$T)))</f>
        <v>2.860635696821516E-2</v>
      </c>
      <c r="J93" s="14">
        <f>(_xlfn.XLOOKUP($A93,Player_Mode_Profile!$A:$A,Player_Mode_Profile!S:S)/(_xlfn.XLOOKUP($A93,Player_Mode_Profile!$A:$A,Player_Mode_Profile!$T:$T)))</f>
        <v>1.4669926650366749E-3</v>
      </c>
    </row>
    <row r="94" spans="1:10" x14ac:dyDescent="0.25">
      <c r="A94" t="str">
        <f>Player_Mode_Profile!A94</f>
        <v>witted-lug0gg</v>
      </c>
      <c r="B94">
        <v>927</v>
      </c>
      <c r="C94" s="13">
        <f>Player_Class_Profile!D94/Player_Class_Profile!H94</f>
        <v>6.933333333333333E-2</v>
      </c>
      <c r="D94" s="10">
        <f>Player_Class_Profile!E94/Player_Class_Profile!H94</f>
        <v>0.18933333333333333</v>
      </c>
      <c r="E94" s="10">
        <f>Player_Class_Profile!F94/Player_Class_Profile!H94</f>
        <v>4.5333333333333337E-2</v>
      </c>
      <c r="F94" s="10">
        <f>Player_Class_Profile!G94/Player_Class_Profile!H94</f>
        <v>0.69599999999999995</v>
      </c>
      <c r="G94" s="13">
        <f>(_xlfn.XLOOKUP($A94,Player_Mode_Profile!$A:$A,Player_Mode_Profile!P:P)/(_xlfn.XLOOKUP($A94,Player_Mode_Profile!$A:$A,Player_Mode_Profile!$T:$T)))</f>
        <v>0.46954595791805093</v>
      </c>
      <c r="H94" s="14">
        <f>(_xlfn.XLOOKUP($A94,Player_Mode_Profile!$A:$A,Player_Mode_Profile!Q:Q)/(_xlfn.XLOOKUP($A94,Player_Mode_Profile!$A:$A,Player_Mode_Profile!$T:$T)))</f>
        <v>0.29235880398671099</v>
      </c>
      <c r="I94" s="14">
        <f>(_xlfn.XLOOKUP($A94,Player_Mode_Profile!$A:$A,Player_Mode_Profile!R:R)/(_xlfn.XLOOKUP($A94,Player_Mode_Profile!$A:$A,Player_Mode_Profile!$T:$T)))</f>
        <v>0.22148394241417496</v>
      </c>
      <c r="J94" s="14">
        <f>(_xlfn.XLOOKUP($A94,Player_Mode_Profile!$A:$A,Player_Mode_Profile!S:S)/(_xlfn.XLOOKUP($A94,Player_Mode_Profile!$A:$A,Player_Mode_Profile!$T:$T)))</f>
        <v>1.6611295681063124E-2</v>
      </c>
    </row>
    <row r="95" spans="1:10" x14ac:dyDescent="0.25">
      <c r="A95" t="str">
        <f>Player_Mode_Profile!A95</f>
        <v>C00L_Breeze_79</v>
      </c>
      <c r="B95">
        <v>937</v>
      </c>
      <c r="C95" s="13">
        <f>Player_Class_Profile!D95/Player_Class_Profile!H95</f>
        <v>0.38511326860841422</v>
      </c>
      <c r="D95" s="10">
        <f>Player_Class_Profile!E95/Player_Class_Profile!H95</f>
        <v>0.24919093851132687</v>
      </c>
      <c r="E95" s="10">
        <f>Player_Class_Profile!F95/Player_Class_Profile!H95</f>
        <v>0.1553398058252427</v>
      </c>
      <c r="F95" s="10">
        <f>Player_Class_Profile!G95/Player_Class_Profile!H95</f>
        <v>0.21035598705501618</v>
      </c>
      <c r="G95" s="13">
        <f>(_xlfn.XLOOKUP($A95,Player_Mode_Profile!$A:$A,Player_Mode_Profile!P:P)/(_xlfn.XLOOKUP($A95,Player_Mode_Profile!$A:$A,Player_Mode_Profile!$T:$T)))</f>
        <v>0.23665223665223664</v>
      </c>
      <c r="H95" s="14">
        <f>(_xlfn.XLOOKUP($A95,Player_Mode_Profile!$A:$A,Player_Mode_Profile!Q:Q)/(_xlfn.XLOOKUP($A95,Player_Mode_Profile!$A:$A,Player_Mode_Profile!$T:$T)))</f>
        <v>0.21645021645021645</v>
      </c>
      <c r="I95" s="14">
        <f>(_xlfn.XLOOKUP($A95,Player_Mode_Profile!$A:$A,Player_Mode_Profile!R:R)/(_xlfn.XLOOKUP($A95,Player_Mode_Profile!$A:$A,Player_Mode_Profile!$T:$T)))</f>
        <v>0.48917748917748916</v>
      </c>
      <c r="J95" s="14">
        <f>(_xlfn.XLOOKUP($A95,Player_Mode_Profile!$A:$A,Player_Mode_Profile!S:S)/(_xlfn.XLOOKUP($A95,Player_Mode_Profile!$A:$A,Player_Mode_Profile!$T:$T)))</f>
        <v>5.772005772005772E-2</v>
      </c>
    </row>
    <row r="96" spans="1:10" x14ac:dyDescent="0.25">
      <c r="A96" t="str">
        <f>Player_Mode_Profile!A96</f>
        <v>Valefar l</v>
      </c>
      <c r="B96">
        <v>947</v>
      </c>
      <c r="C96" s="13">
        <f>Player_Class_Profile!D96/Player_Class_Profile!H96</f>
        <v>0.13695090439276486</v>
      </c>
      <c r="D96" s="10">
        <f>Player_Class_Profile!E96/Player_Class_Profile!H96</f>
        <v>0.16795865633074936</v>
      </c>
      <c r="E96" s="10">
        <f>Player_Class_Profile!F96/Player_Class_Profile!H96</f>
        <v>7.4935400516795869E-2</v>
      </c>
      <c r="F96" s="10">
        <f>Player_Class_Profile!G96/Player_Class_Profile!H96</f>
        <v>0.62015503875968991</v>
      </c>
      <c r="G96" s="13">
        <f>(_xlfn.XLOOKUP($A96,Player_Mode_Profile!$A:$A,Player_Mode_Profile!P:P)/(_xlfn.XLOOKUP($A96,Player_Mode_Profile!$A:$A,Player_Mode_Profile!$T:$T)))</f>
        <v>0.54419066534260174</v>
      </c>
      <c r="H96" s="14">
        <f>(_xlfn.XLOOKUP($A96,Player_Mode_Profile!$A:$A,Player_Mode_Profile!Q:Q)/(_xlfn.XLOOKUP($A96,Player_Mode_Profile!$A:$A,Player_Mode_Profile!$T:$T)))</f>
        <v>0.23237338629592849</v>
      </c>
      <c r="I96" s="14">
        <f>(_xlfn.XLOOKUP($A96,Player_Mode_Profile!$A:$A,Player_Mode_Profile!R:R)/(_xlfn.XLOOKUP($A96,Player_Mode_Profile!$A:$A,Player_Mode_Profile!$T:$T)))</f>
        <v>0.21002979145978154</v>
      </c>
      <c r="J96" s="14">
        <f>(_xlfn.XLOOKUP($A96,Player_Mode_Profile!$A:$A,Player_Mode_Profile!S:S)/(_xlfn.XLOOKUP($A96,Player_Mode_Profile!$A:$A,Player_Mode_Profile!$T:$T)))</f>
        <v>1.3406156901688183E-2</v>
      </c>
    </row>
    <row r="97" spans="1:10" x14ac:dyDescent="0.25">
      <c r="A97" t="str">
        <f>Player_Mode_Profile!A97</f>
        <v>SilverCrown117</v>
      </c>
      <c r="B97">
        <v>957</v>
      </c>
      <c r="C97" s="13">
        <f>Player_Class_Profile!D97/Player_Class_Profile!H97</f>
        <v>0.17401960784313725</v>
      </c>
      <c r="D97" s="10">
        <f>Player_Class_Profile!E97/Player_Class_Profile!H97</f>
        <v>0.23284313725490197</v>
      </c>
      <c r="E97" s="10">
        <f>Player_Class_Profile!F97/Player_Class_Profile!H97</f>
        <v>0.22303921568627452</v>
      </c>
      <c r="F97" s="10">
        <f>Player_Class_Profile!G97/Player_Class_Profile!H97</f>
        <v>0.37009803921568629</v>
      </c>
      <c r="G97" s="13">
        <f>(_xlfn.XLOOKUP($A97,Player_Mode_Profile!$A:$A,Player_Mode_Profile!P:P)/(_xlfn.XLOOKUP($A97,Player_Mode_Profile!$A:$A,Player_Mode_Profile!$T:$T)))</f>
        <v>0.1797752808988764</v>
      </c>
      <c r="H97" s="14">
        <f>(_xlfn.XLOOKUP($A97,Player_Mode_Profile!$A:$A,Player_Mode_Profile!Q:Q)/(_xlfn.XLOOKUP($A97,Player_Mode_Profile!$A:$A,Player_Mode_Profile!$T:$T)))</f>
        <v>0.6018563751831949</v>
      </c>
      <c r="I97" s="14">
        <f>(_xlfn.XLOOKUP($A97,Player_Mode_Profile!$A:$A,Player_Mode_Profile!R:R)/(_xlfn.XLOOKUP($A97,Player_Mode_Profile!$A:$A,Player_Mode_Profile!$T:$T)))</f>
        <v>0.19833903273082559</v>
      </c>
      <c r="J97" s="14">
        <f>(_xlfn.XLOOKUP($A97,Player_Mode_Profile!$A:$A,Player_Mode_Profile!S:S)/(_xlfn.XLOOKUP($A97,Player_Mode_Profile!$A:$A,Player_Mode_Profile!$T:$T)))</f>
        <v>2.0029311187103077E-2</v>
      </c>
    </row>
    <row r="98" spans="1:10" x14ac:dyDescent="0.25">
      <c r="A98" t="str">
        <f>Player_Mode_Profile!A98</f>
        <v>WhiteYD1299</v>
      </c>
      <c r="B98">
        <v>967</v>
      </c>
      <c r="C98" s="13">
        <f>Player_Class_Profile!D98/Player_Class_Profile!H98</f>
        <v>0.18181818181818182</v>
      </c>
      <c r="D98" s="10">
        <f>Player_Class_Profile!E98/Player_Class_Profile!H98</f>
        <v>7.575757575757576E-2</v>
      </c>
      <c r="E98" s="10">
        <f>Player_Class_Profile!F98/Player_Class_Profile!H98</f>
        <v>5.1515151515151514E-2</v>
      </c>
      <c r="F98" s="10">
        <f>Player_Class_Profile!G98/Player_Class_Profile!H98</f>
        <v>0.69090909090909092</v>
      </c>
      <c r="G98" s="13">
        <f>(_xlfn.XLOOKUP($A98,Player_Mode_Profile!$A:$A,Player_Mode_Profile!P:P)/(_xlfn.XLOOKUP($A98,Player_Mode_Profile!$A:$A,Player_Mode_Profile!$T:$T)))</f>
        <v>0.63726135615536539</v>
      </c>
      <c r="H98" s="14">
        <f>(_xlfn.XLOOKUP($A98,Player_Mode_Profile!$A:$A,Player_Mode_Profile!Q:Q)/(_xlfn.XLOOKUP($A98,Player_Mode_Profile!$A:$A,Player_Mode_Profile!$T:$T)))</f>
        <v>2.1066491112574061E-2</v>
      </c>
      <c r="I98" s="14">
        <f>(_xlfn.XLOOKUP($A98,Player_Mode_Profile!$A:$A,Player_Mode_Profile!R:R)/(_xlfn.XLOOKUP($A98,Player_Mode_Profile!$A:$A,Player_Mode_Profile!$T:$T)))</f>
        <v>0.32126398946675444</v>
      </c>
      <c r="J98" s="14">
        <f>(_xlfn.XLOOKUP($A98,Player_Mode_Profile!$A:$A,Player_Mode_Profile!S:S)/(_xlfn.XLOOKUP($A98,Player_Mode_Profile!$A:$A,Player_Mode_Profile!$T:$T)))</f>
        <v>2.0408163265306121E-2</v>
      </c>
    </row>
    <row r="99" spans="1:10" x14ac:dyDescent="0.25">
      <c r="A99" t="str">
        <f>Player_Mode_Profile!A99</f>
        <v>14_SCALPEL_41</v>
      </c>
      <c r="B99">
        <v>977</v>
      </c>
      <c r="C99" s="13">
        <f>Player_Class_Profile!D99/Player_Class_Profile!H99</f>
        <v>0.18656716417910449</v>
      </c>
      <c r="D99" s="10">
        <f>Player_Class_Profile!E99/Player_Class_Profile!H99</f>
        <v>0.40049751243781095</v>
      </c>
      <c r="E99" s="10">
        <f>Player_Class_Profile!F99/Player_Class_Profile!H99</f>
        <v>0.26368159203980102</v>
      </c>
      <c r="F99" s="10">
        <f>Player_Class_Profile!G99/Player_Class_Profile!H99</f>
        <v>0.14925373134328357</v>
      </c>
      <c r="G99" s="13">
        <f>(_xlfn.XLOOKUP($A99,Player_Mode_Profile!$A:$A,Player_Mode_Profile!P:P)/(_xlfn.XLOOKUP($A99,Player_Mode_Profile!$A:$A,Player_Mode_Profile!$T:$T)))</f>
        <v>0.87944768985661181</v>
      </c>
      <c r="H99" s="14">
        <f>(_xlfn.XLOOKUP($A99,Player_Mode_Profile!$A:$A,Player_Mode_Profile!Q:Q)/(_xlfn.XLOOKUP($A99,Player_Mode_Profile!$A:$A,Player_Mode_Profile!$T:$T)))</f>
        <v>5.9479553903345722E-2</v>
      </c>
      <c r="I99" s="14">
        <f>(_xlfn.XLOOKUP($A99,Player_Mode_Profile!$A:$A,Player_Mode_Profile!R:R)/(_xlfn.XLOOKUP($A99,Player_Mode_Profile!$A:$A,Player_Mode_Profile!$T:$T)))</f>
        <v>1.2214551248008496E-2</v>
      </c>
      <c r="J99" s="14">
        <f>(_xlfn.XLOOKUP($A99,Player_Mode_Profile!$A:$A,Player_Mode_Profile!S:S)/(_xlfn.XLOOKUP($A99,Player_Mode_Profile!$A:$A,Player_Mode_Profile!$T:$T)))</f>
        <v>4.8858204992033985E-2</v>
      </c>
    </row>
    <row r="100" spans="1:10" x14ac:dyDescent="0.25">
      <c r="A100" t="str">
        <f>Player_Mode_Profile!A100</f>
        <v>DiPHY</v>
      </c>
      <c r="B100">
        <v>987</v>
      </c>
      <c r="C100" s="13">
        <f>Player_Class_Profile!D100/Player_Class_Profile!H100</f>
        <v>0.13157894736842105</v>
      </c>
      <c r="D100" s="10">
        <f>Player_Class_Profile!E100/Player_Class_Profile!H100</f>
        <v>0.30921052631578949</v>
      </c>
      <c r="E100" s="10">
        <f>Player_Class_Profile!F100/Player_Class_Profile!H100</f>
        <v>0.4692982456140351</v>
      </c>
      <c r="F100" s="10">
        <f>Player_Class_Profile!G100/Player_Class_Profile!H100</f>
        <v>8.9912280701754388E-2</v>
      </c>
      <c r="G100" s="13">
        <f>(_xlfn.XLOOKUP($A100,Player_Mode_Profile!$A:$A,Player_Mode_Profile!P:P)/(_xlfn.XLOOKUP($A100,Player_Mode_Profile!$A:$A,Player_Mode_Profile!$T:$T)))</f>
        <v>0.49269311064718163</v>
      </c>
      <c r="H100" s="14">
        <f>(_xlfn.XLOOKUP($A100,Player_Mode_Profile!$A:$A,Player_Mode_Profile!Q:Q)/(_xlfn.XLOOKUP($A100,Player_Mode_Profile!$A:$A,Player_Mode_Profile!$T:$T)))</f>
        <v>0.47432150313152399</v>
      </c>
      <c r="I100" s="14">
        <f>(_xlfn.XLOOKUP($A100,Player_Mode_Profile!$A:$A,Player_Mode_Profile!R:R)/(_xlfn.XLOOKUP($A100,Player_Mode_Profile!$A:$A,Player_Mode_Profile!$T:$T)))</f>
        <v>3.2985386221294363E-2</v>
      </c>
      <c r="J100" s="14">
        <f>(_xlfn.XLOOKUP($A100,Player_Mode_Profile!$A:$A,Player_Mode_Profile!S:S)/(_xlfn.XLOOKUP($A100,Player_Mode_Profile!$A:$A,Player_Mode_Profile!$T:$T)))</f>
        <v>0</v>
      </c>
    </row>
    <row r="101" spans="1:10" x14ac:dyDescent="0.25">
      <c r="A101" t="str">
        <f>Player_Mode_Profile!A101</f>
        <v>tc_likeman01</v>
      </c>
      <c r="B101">
        <v>997</v>
      </c>
      <c r="C101" s="13">
        <f>Player_Class_Profile!D101/Player_Class_Profile!H101</f>
        <v>7.4398249452954049E-2</v>
      </c>
      <c r="D101" s="10">
        <f>Player_Class_Profile!E101/Player_Class_Profile!H101</f>
        <v>0.29321663019693656</v>
      </c>
      <c r="E101" s="10">
        <f>Player_Class_Profile!F101/Player_Class_Profile!H101</f>
        <v>0.18161925601750548</v>
      </c>
      <c r="F101" s="10">
        <f>Player_Class_Profile!G101/Player_Class_Profile!H101</f>
        <v>0.45076586433260396</v>
      </c>
      <c r="G101" s="13">
        <f>(_xlfn.XLOOKUP($A101,Player_Mode_Profile!$A:$A,Player_Mode_Profile!P:P)/(_xlfn.XLOOKUP($A101,Player_Mode_Profile!$A:$A,Player_Mode_Profile!$T:$T)))</f>
        <v>0.52872699962448366</v>
      </c>
      <c r="H101" s="14">
        <f>(_xlfn.XLOOKUP($A101,Player_Mode_Profile!$A:$A,Player_Mode_Profile!Q:Q)/(_xlfn.XLOOKUP($A101,Player_Mode_Profile!$A:$A,Player_Mode_Profile!$T:$T)))</f>
        <v>0.30341719864814121</v>
      </c>
      <c r="I101" s="14">
        <f>(_xlfn.XLOOKUP($A101,Player_Mode_Profile!$A:$A,Player_Mode_Profile!R:R)/(_xlfn.XLOOKUP($A101,Player_Mode_Profile!$A:$A,Player_Mode_Profile!$T:$T)))</f>
        <v>0.13593691325572663</v>
      </c>
      <c r="J101" s="14">
        <f>(_xlfn.XLOOKUP($A101,Player_Mode_Profile!$A:$A,Player_Mode_Profile!S:S)/(_xlfn.XLOOKUP($A101,Player_Mode_Profile!$A:$A,Player_Mode_Profile!$T:$T)))</f>
        <v>3.1918888471648518E-2</v>
      </c>
    </row>
    <row r="102" spans="1:10" x14ac:dyDescent="0.25">
      <c r="B102">
        <v>1007</v>
      </c>
    </row>
    <row r="103" spans="1:10" x14ac:dyDescent="0.25">
      <c r="B103">
        <v>1017</v>
      </c>
    </row>
    <row r="104" spans="1:10" x14ac:dyDescent="0.25">
      <c r="B104">
        <v>1027</v>
      </c>
    </row>
    <row r="105" spans="1:10" x14ac:dyDescent="0.25">
      <c r="B105">
        <v>1037</v>
      </c>
    </row>
    <row r="106" spans="1:10" x14ac:dyDescent="0.25">
      <c r="B106">
        <v>1047</v>
      </c>
    </row>
    <row r="107" spans="1:10" x14ac:dyDescent="0.25">
      <c r="B107">
        <v>1057</v>
      </c>
    </row>
    <row r="108" spans="1:10" x14ac:dyDescent="0.25">
      <c r="B108">
        <v>1067</v>
      </c>
    </row>
    <row r="109" spans="1:10" x14ac:dyDescent="0.25">
      <c r="B109">
        <v>1077</v>
      </c>
    </row>
    <row r="110" spans="1:10" x14ac:dyDescent="0.25">
      <c r="B110">
        <v>1087</v>
      </c>
    </row>
    <row r="111" spans="1:10" x14ac:dyDescent="0.25">
      <c r="B111">
        <v>1097</v>
      </c>
    </row>
    <row r="112" spans="1:10" x14ac:dyDescent="0.25">
      <c r="B112">
        <v>1107</v>
      </c>
    </row>
    <row r="113" spans="2:2" x14ac:dyDescent="0.25">
      <c r="B113">
        <v>1117</v>
      </c>
    </row>
    <row r="114" spans="2:2" x14ac:dyDescent="0.25">
      <c r="B114">
        <v>1127</v>
      </c>
    </row>
    <row r="115" spans="2:2" x14ac:dyDescent="0.25">
      <c r="B115">
        <v>1137</v>
      </c>
    </row>
    <row r="116" spans="2:2" x14ac:dyDescent="0.25">
      <c r="B116">
        <v>1147</v>
      </c>
    </row>
    <row r="117" spans="2:2" x14ac:dyDescent="0.25">
      <c r="B117">
        <v>1157</v>
      </c>
    </row>
    <row r="118" spans="2:2" x14ac:dyDescent="0.25">
      <c r="B118">
        <v>1167</v>
      </c>
    </row>
    <row r="119" spans="2:2" x14ac:dyDescent="0.25">
      <c r="B119">
        <v>1177</v>
      </c>
    </row>
    <row r="120" spans="2:2" x14ac:dyDescent="0.25">
      <c r="B120">
        <v>1187</v>
      </c>
    </row>
    <row r="121" spans="2:2" x14ac:dyDescent="0.25">
      <c r="B121">
        <v>1197</v>
      </c>
    </row>
    <row r="122" spans="2:2" x14ac:dyDescent="0.25">
      <c r="B122">
        <v>1207</v>
      </c>
    </row>
    <row r="123" spans="2:2" x14ac:dyDescent="0.25">
      <c r="B123">
        <v>1217</v>
      </c>
    </row>
    <row r="124" spans="2:2" x14ac:dyDescent="0.25">
      <c r="B124">
        <v>1227</v>
      </c>
    </row>
    <row r="125" spans="2:2" x14ac:dyDescent="0.25">
      <c r="B125">
        <v>1237</v>
      </c>
    </row>
    <row r="126" spans="2:2" x14ac:dyDescent="0.25">
      <c r="B126">
        <v>1247</v>
      </c>
    </row>
    <row r="127" spans="2:2" x14ac:dyDescent="0.25">
      <c r="B127">
        <v>1257</v>
      </c>
    </row>
    <row r="128" spans="2:2" x14ac:dyDescent="0.25">
      <c r="B128">
        <v>1267</v>
      </c>
    </row>
    <row r="129" spans="2:2" x14ac:dyDescent="0.25">
      <c r="B129">
        <v>1277</v>
      </c>
    </row>
    <row r="130" spans="2:2" x14ac:dyDescent="0.25">
      <c r="B130">
        <v>1287</v>
      </c>
    </row>
    <row r="131" spans="2:2" x14ac:dyDescent="0.25">
      <c r="B131">
        <v>1297</v>
      </c>
    </row>
    <row r="132" spans="2:2" x14ac:dyDescent="0.25">
      <c r="B132">
        <v>1307</v>
      </c>
    </row>
    <row r="133" spans="2:2" x14ac:dyDescent="0.25">
      <c r="B133">
        <v>1317</v>
      </c>
    </row>
    <row r="134" spans="2:2" x14ac:dyDescent="0.25">
      <c r="B134">
        <v>1327</v>
      </c>
    </row>
    <row r="135" spans="2:2" x14ac:dyDescent="0.25">
      <c r="B135">
        <v>1337</v>
      </c>
    </row>
    <row r="136" spans="2:2" x14ac:dyDescent="0.25">
      <c r="B136">
        <v>1347</v>
      </c>
    </row>
    <row r="137" spans="2:2" x14ac:dyDescent="0.25">
      <c r="B137">
        <v>1357</v>
      </c>
    </row>
    <row r="138" spans="2:2" x14ac:dyDescent="0.25">
      <c r="B138">
        <v>1367</v>
      </c>
    </row>
    <row r="139" spans="2:2" x14ac:dyDescent="0.25">
      <c r="B139">
        <v>1377</v>
      </c>
    </row>
    <row r="140" spans="2:2" x14ac:dyDescent="0.25">
      <c r="B140">
        <v>1387</v>
      </c>
    </row>
    <row r="141" spans="2:2" x14ac:dyDescent="0.25">
      <c r="B141">
        <v>1397</v>
      </c>
    </row>
    <row r="142" spans="2:2" x14ac:dyDescent="0.25">
      <c r="B142">
        <v>1407</v>
      </c>
    </row>
    <row r="143" spans="2:2" x14ac:dyDescent="0.25">
      <c r="B143">
        <v>1417</v>
      </c>
    </row>
    <row r="144" spans="2:2" x14ac:dyDescent="0.25">
      <c r="B144">
        <v>1427</v>
      </c>
    </row>
    <row r="145" spans="2:2" x14ac:dyDescent="0.25">
      <c r="B145">
        <v>1437</v>
      </c>
    </row>
    <row r="146" spans="2:2" x14ac:dyDescent="0.25">
      <c r="B146">
        <v>1447</v>
      </c>
    </row>
    <row r="147" spans="2:2" x14ac:dyDescent="0.25">
      <c r="B147">
        <v>1457</v>
      </c>
    </row>
    <row r="148" spans="2:2" x14ac:dyDescent="0.25">
      <c r="B148">
        <v>1467</v>
      </c>
    </row>
    <row r="149" spans="2:2" x14ac:dyDescent="0.25">
      <c r="B149">
        <v>1477</v>
      </c>
    </row>
    <row r="150" spans="2:2" x14ac:dyDescent="0.25">
      <c r="B150">
        <v>1487</v>
      </c>
    </row>
    <row r="151" spans="2:2" x14ac:dyDescent="0.25">
      <c r="B151">
        <v>1497</v>
      </c>
    </row>
    <row r="152" spans="2:2" x14ac:dyDescent="0.25">
      <c r="B152">
        <v>1507</v>
      </c>
    </row>
    <row r="153" spans="2:2" x14ac:dyDescent="0.25">
      <c r="B153">
        <v>1517</v>
      </c>
    </row>
    <row r="154" spans="2:2" x14ac:dyDescent="0.25">
      <c r="B154">
        <v>1527</v>
      </c>
    </row>
    <row r="155" spans="2:2" x14ac:dyDescent="0.25">
      <c r="B155">
        <v>1537</v>
      </c>
    </row>
    <row r="156" spans="2:2" x14ac:dyDescent="0.25">
      <c r="B156">
        <v>1547</v>
      </c>
    </row>
    <row r="157" spans="2:2" x14ac:dyDescent="0.25">
      <c r="B157">
        <v>1557</v>
      </c>
    </row>
    <row r="158" spans="2:2" x14ac:dyDescent="0.25">
      <c r="B158">
        <v>1567</v>
      </c>
    </row>
    <row r="159" spans="2:2" x14ac:dyDescent="0.25">
      <c r="B159">
        <v>1577</v>
      </c>
    </row>
    <row r="160" spans="2:2" x14ac:dyDescent="0.25">
      <c r="B160">
        <v>1587</v>
      </c>
    </row>
    <row r="161" spans="2:2" x14ac:dyDescent="0.25">
      <c r="B161">
        <v>1597</v>
      </c>
    </row>
    <row r="162" spans="2:2" x14ac:dyDescent="0.25">
      <c r="B162">
        <v>1607</v>
      </c>
    </row>
    <row r="163" spans="2:2" x14ac:dyDescent="0.25">
      <c r="B163">
        <v>1617</v>
      </c>
    </row>
    <row r="164" spans="2:2" x14ac:dyDescent="0.25">
      <c r="B164">
        <v>1627</v>
      </c>
    </row>
    <row r="165" spans="2:2" x14ac:dyDescent="0.25">
      <c r="B165">
        <v>1637</v>
      </c>
    </row>
    <row r="166" spans="2:2" x14ac:dyDescent="0.25">
      <c r="B166">
        <v>1647</v>
      </c>
    </row>
    <row r="167" spans="2:2" x14ac:dyDescent="0.25">
      <c r="B167">
        <v>1657</v>
      </c>
    </row>
    <row r="168" spans="2:2" x14ac:dyDescent="0.25">
      <c r="B168">
        <v>1667</v>
      </c>
    </row>
    <row r="169" spans="2:2" x14ac:dyDescent="0.25">
      <c r="B169">
        <v>1677</v>
      </c>
    </row>
    <row r="170" spans="2:2" x14ac:dyDescent="0.25">
      <c r="B170">
        <v>1687</v>
      </c>
    </row>
    <row r="171" spans="2:2" x14ac:dyDescent="0.25">
      <c r="B171">
        <v>1697</v>
      </c>
    </row>
    <row r="172" spans="2:2" x14ac:dyDescent="0.25">
      <c r="B172">
        <v>1707</v>
      </c>
    </row>
    <row r="173" spans="2:2" x14ac:dyDescent="0.25">
      <c r="B173">
        <v>1717</v>
      </c>
    </row>
    <row r="174" spans="2:2" x14ac:dyDescent="0.25">
      <c r="B174">
        <v>1727</v>
      </c>
    </row>
    <row r="175" spans="2:2" x14ac:dyDescent="0.25">
      <c r="B175">
        <v>1737</v>
      </c>
    </row>
    <row r="176" spans="2:2" x14ac:dyDescent="0.25">
      <c r="B176">
        <v>1747</v>
      </c>
    </row>
    <row r="177" spans="2:2" x14ac:dyDescent="0.25">
      <c r="B177">
        <v>1757</v>
      </c>
    </row>
    <row r="178" spans="2:2" x14ac:dyDescent="0.25">
      <c r="B178">
        <v>1767</v>
      </c>
    </row>
    <row r="179" spans="2:2" x14ac:dyDescent="0.25">
      <c r="B179">
        <v>1777</v>
      </c>
    </row>
    <row r="180" spans="2:2" x14ac:dyDescent="0.25">
      <c r="B180">
        <v>1787</v>
      </c>
    </row>
    <row r="181" spans="2:2" x14ac:dyDescent="0.25">
      <c r="B181">
        <v>1797</v>
      </c>
    </row>
    <row r="182" spans="2:2" x14ac:dyDescent="0.25">
      <c r="B182">
        <v>1807</v>
      </c>
    </row>
    <row r="183" spans="2:2" x14ac:dyDescent="0.25">
      <c r="B183">
        <v>1817</v>
      </c>
    </row>
    <row r="184" spans="2:2" x14ac:dyDescent="0.25">
      <c r="B184">
        <v>1827</v>
      </c>
    </row>
    <row r="185" spans="2:2" x14ac:dyDescent="0.25">
      <c r="B185">
        <v>1837</v>
      </c>
    </row>
    <row r="186" spans="2:2" x14ac:dyDescent="0.25">
      <c r="B186">
        <v>1847</v>
      </c>
    </row>
    <row r="187" spans="2:2" x14ac:dyDescent="0.25">
      <c r="B187">
        <v>1857</v>
      </c>
    </row>
    <row r="188" spans="2:2" x14ac:dyDescent="0.25">
      <c r="B188">
        <v>1867</v>
      </c>
    </row>
    <row r="189" spans="2:2" x14ac:dyDescent="0.25">
      <c r="B189">
        <v>1877</v>
      </c>
    </row>
    <row r="190" spans="2:2" x14ac:dyDescent="0.25">
      <c r="B190">
        <v>1887</v>
      </c>
    </row>
    <row r="191" spans="2:2" x14ac:dyDescent="0.25">
      <c r="B191">
        <v>1897</v>
      </c>
    </row>
    <row r="192" spans="2:2" x14ac:dyDescent="0.25">
      <c r="B192">
        <v>1907</v>
      </c>
    </row>
    <row r="193" spans="2:2" x14ac:dyDescent="0.25">
      <c r="B193">
        <v>1917</v>
      </c>
    </row>
    <row r="194" spans="2:2" x14ac:dyDescent="0.25">
      <c r="B194">
        <v>1927</v>
      </c>
    </row>
    <row r="195" spans="2:2" x14ac:dyDescent="0.25">
      <c r="B195">
        <v>1937</v>
      </c>
    </row>
    <row r="196" spans="2:2" x14ac:dyDescent="0.25">
      <c r="B196">
        <v>1947</v>
      </c>
    </row>
    <row r="197" spans="2:2" x14ac:dyDescent="0.25">
      <c r="B197">
        <v>1957</v>
      </c>
    </row>
    <row r="198" spans="2:2" x14ac:dyDescent="0.25">
      <c r="B198">
        <v>1967</v>
      </c>
    </row>
    <row r="199" spans="2:2" x14ac:dyDescent="0.25">
      <c r="B199">
        <v>1977</v>
      </c>
    </row>
    <row r="200" spans="2:2" x14ac:dyDescent="0.25">
      <c r="B200">
        <v>1987</v>
      </c>
    </row>
    <row r="201" spans="2:2" x14ac:dyDescent="0.25">
      <c r="B201">
        <v>1997</v>
      </c>
    </row>
    <row r="202" spans="2:2" x14ac:dyDescent="0.25">
      <c r="B202">
        <v>2007</v>
      </c>
    </row>
    <row r="203" spans="2:2" x14ac:dyDescent="0.25">
      <c r="B203">
        <v>2017</v>
      </c>
    </row>
    <row r="204" spans="2:2" x14ac:dyDescent="0.25">
      <c r="B204">
        <v>2027</v>
      </c>
    </row>
    <row r="205" spans="2:2" x14ac:dyDescent="0.25">
      <c r="B205">
        <v>2037</v>
      </c>
    </row>
    <row r="206" spans="2:2" x14ac:dyDescent="0.25">
      <c r="B206">
        <v>2047</v>
      </c>
    </row>
    <row r="207" spans="2:2" x14ac:dyDescent="0.25">
      <c r="B207">
        <v>2057</v>
      </c>
    </row>
    <row r="208" spans="2:2" x14ac:dyDescent="0.25">
      <c r="B208">
        <v>2067</v>
      </c>
    </row>
    <row r="209" spans="2:2" x14ac:dyDescent="0.25">
      <c r="B209">
        <v>2077</v>
      </c>
    </row>
    <row r="210" spans="2:2" x14ac:dyDescent="0.25">
      <c r="B210">
        <v>2087</v>
      </c>
    </row>
    <row r="211" spans="2:2" x14ac:dyDescent="0.25">
      <c r="B211">
        <v>2097</v>
      </c>
    </row>
    <row r="212" spans="2:2" x14ac:dyDescent="0.25">
      <c r="B212">
        <v>2107</v>
      </c>
    </row>
    <row r="213" spans="2:2" x14ac:dyDescent="0.25">
      <c r="B213">
        <v>2117</v>
      </c>
    </row>
    <row r="214" spans="2:2" x14ac:dyDescent="0.25">
      <c r="B214">
        <v>2127</v>
      </c>
    </row>
    <row r="215" spans="2:2" x14ac:dyDescent="0.25">
      <c r="B215">
        <v>2137</v>
      </c>
    </row>
    <row r="216" spans="2:2" x14ac:dyDescent="0.25">
      <c r="B216">
        <v>2147</v>
      </c>
    </row>
    <row r="217" spans="2:2" x14ac:dyDescent="0.25">
      <c r="B217">
        <v>2157</v>
      </c>
    </row>
    <row r="218" spans="2:2" x14ac:dyDescent="0.25">
      <c r="B218">
        <v>2167</v>
      </c>
    </row>
    <row r="219" spans="2:2" x14ac:dyDescent="0.25">
      <c r="B219">
        <v>2177</v>
      </c>
    </row>
    <row r="220" spans="2:2" x14ac:dyDescent="0.25">
      <c r="B220">
        <v>2187</v>
      </c>
    </row>
    <row r="221" spans="2:2" x14ac:dyDescent="0.25">
      <c r="B221">
        <v>2197</v>
      </c>
    </row>
    <row r="222" spans="2:2" x14ac:dyDescent="0.25">
      <c r="B222">
        <v>2207</v>
      </c>
    </row>
    <row r="223" spans="2:2" x14ac:dyDescent="0.25">
      <c r="B223">
        <v>2217</v>
      </c>
    </row>
    <row r="224" spans="2:2" x14ac:dyDescent="0.25">
      <c r="B224">
        <v>2227</v>
      </c>
    </row>
    <row r="225" spans="2:2" x14ac:dyDescent="0.25">
      <c r="B225">
        <v>2237</v>
      </c>
    </row>
    <row r="226" spans="2:2" x14ac:dyDescent="0.25">
      <c r="B226">
        <v>2247</v>
      </c>
    </row>
    <row r="227" spans="2:2" x14ac:dyDescent="0.25">
      <c r="B227">
        <v>2257</v>
      </c>
    </row>
    <row r="228" spans="2:2" x14ac:dyDescent="0.25">
      <c r="B228">
        <v>2267</v>
      </c>
    </row>
    <row r="229" spans="2:2" x14ac:dyDescent="0.25">
      <c r="B229">
        <v>2277</v>
      </c>
    </row>
    <row r="230" spans="2:2" x14ac:dyDescent="0.25">
      <c r="B230">
        <v>2287</v>
      </c>
    </row>
    <row r="231" spans="2:2" x14ac:dyDescent="0.25">
      <c r="B231">
        <v>2297</v>
      </c>
    </row>
    <row r="232" spans="2:2" x14ac:dyDescent="0.25">
      <c r="B232">
        <v>2307</v>
      </c>
    </row>
    <row r="233" spans="2:2" x14ac:dyDescent="0.25">
      <c r="B233">
        <v>2317</v>
      </c>
    </row>
    <row r="234" spans="2:2" x14ac:dyDescent="0.25">
      <c r="B234">
        <v>2327</v>
      </c>
    </row>
    <row r="235" spans="2:2" x14ac:dyDescent="0.25">
      <c r="B235">
        <v>2337</v>
      </c>
    </row>
    <row r="236" spans="2:2" x14ac:dyDescent="0.25">
      <c r="B236">
        <v>2347</v>
      </c>
    </row>
    <row r="237" spans="2:2" x14ac:dyDescent="0.25">
      <c r="B237">
        <v>2357</v>
      </c>
    </row>
    <row r="238" spans="2:2" x14ac:dyDescent="0.25">
      <c r="B238">
        <v>2367</v>
      </c>
    </row>
    <row r="239" spans="2:2" x14ac:dyDescent="0.25">
      <c r="B239">
        <v>2377</v>
      </c>
    </row>
    <row r="240" spans="2:2" x14ac:dyDescent="0.25">
      <c r="B240">
        <v>2387</v>
      </c>
    </row>
    <row r="241" spans="2:2" x14ac:dyDescent="0.25">
      <c r="B241">
        <v>2397</v>
      </c>
    </row>
    <row r="242" spans="2:2" x14ac:dyDescent="0.25">
      <c r="B242">
        <v>2407</v>
      </c>
    </row>
    <row r="243" spans="2:2" x14ac:dyDescent="0.25">
      <c r="B243">
        <v>2417</v>
      </c>
    </row>
    <row r="244" spans="2:2" x14ac:dyDescent="0.25">
      <c r="B244">
        <v>2427</v>
      </c>
    </row>
    <row r="245" spans="2:2" x14ac:dyDescent="0.25">
      <c r="B245">
        <v>2437</v>
      </c>
    </row>
    <row r="246" spans="2:2" x14ac:dyDescent="0.25">
      <c r="B246">
        <v>2447</v>
      </c>
    </row>
    <row r="247" spans="2:2" x14ac:dyDescent="0.25">
      <c r="B247">
        <v>2457</v>
      </c>
    </row>
    <row r="248" spans="2:2" x14ac:dyDescent="0.25">
      <c r="B248">
        <v>2467</v>
      </c>
    </row>
    <row r="249" spans="2:2" x14ac:dyDescent="0.25">
      <c r="B249">
        <v>2477</v>
      </c>
    </row>
    <row r="250" spans="2:2" x14ac:dyDescent="0.25">
      <c r="B250">
        <v>2487</v>
      </c>
    </row>
    <row r="251" spans="2:2" x14ac:dyDescent="0.25">
      <c r="B251">
        <v>2497</v>
      </c>
    </row>
    <row r="252" spans="2:2" x14ac:dyDescent="0.25">
      <c r="B252">
        <v>2507</v>
      </c>
    </row>
    <row r="253" spans="2:2" x14ac:dyDescent="0.25">
      <c r="B253">
        <v>2517</v>
      </c>
    </row>
    <row r="254" spans="2:2" x14ac:dyDescent="0.25">
      <c r="B254">
        <v>2527</v>
      </c>
    </row>
    <row r="255" spans="2:2" x14ac:dyDescent="0.25">
      <c r="B255">
        <v>2537</v>
      </c>
    </row>
    <row r="256" spans="2:2" x14ac:dyDescent="0.25">
      <c r="B256">
        <v>2547</v>
      </c>
    </row>
    <row r="257" spans="2:2" x14ac:dyDescent="0.25">
      <c r="B257">
        <v>2557</v>
      </c>
    </row>
    <row r="258" spans="2:2" x14ac:dyDescent="0.25">
      <c r="B258">
        <v>2567</v>
      </c>
    </row>
    <row r="259" spans="2:2" x14ac:dyDescent="0.25">
      <c r="B259">
        <v>2577</v>
      </c>
    </row>
    <row r="260" spans="2:2" x14ac:dyDescent="0.25">
      <c r="B260">
        <v>2587</v>
      </c>
    </row>
    <row r="261" spans="2:2" x14ac:dyDescent="0.25">
      <c r="B261">
        <v>2597</v>
      </c>
    </row>
    <row r="262" spans="2:2" x14ac:dyDescent="0.25">
      <c r="B262">
        <v>2607</v>
      </c>
    </row>
    <row r="263" spans="2:2" x14ac:dyDescent="0.25">
      <c r="B263">
        <v>2617</v>
      </c>
    </row>
    <row r="264" spans="2:2" x14ac:dyDescent="0.25">
      <c r="B264">
        <v>2627</v>
      </c>
    </row>
    <row r="265" spans="2:2" x14ac:dyDescent="0.25">
      <c r="B265">
        <v>2637</v>
      </c>
    </row>
    <row r="266" spans="2:2" x14ac:dyDescent="0.25">
      <c r="B266">
        <v>2647</v>
      </c>
    </row>
    <row r="267" spans="2:2" x14ac:dyDescent="0.25">
      <c r="B267">
        <v>2657</v>
      </c>
    </row>
    <row r="268" spans="2:2" x14ac:dyDescent="0.25">
      <c r="B268">
        <v>2667</v>
      </c>
    </row>
    <row r="269" spans="2:2" x14ac:dyDescent="0.25">
      <c r="B269">
        <v>2677</v>
      </c>
    </row>
    <row r="270" spans="2:2" x14ac:dyDescent="0.25">
      <c r="B270">
        <v>2687</v>
      </c>
    </row>
    <row r="271" spans="2:2" x14ac:dyDescent="0.25">
      <c r="B271">
        <v>2697</v>
      </c>
    </row>
    <row r="272" spans="2:2" x14ac:dyDescent="0.25">
      <c r="B272">
        <v>2707</v>
      </c>
    </row>
    <row r="273" spans="2:2" x14ac:dyDescent="0.25">
      <c r="B273">
        <v>2717</v>
      </c>
    </row>
    <row r="274" spans="2:2" x14ac:dyDescent="0.25">
      <c r="B274">
        <v>2727</v>
      </c>
    </row>
    <row r="275" spans="2:2" x14ac:dyDescent="0.25">
      <c r="B275">
        <v>2737</v>
      </c>
    </row>
    <row r="276" spans="2:2" x14ac:dyDescent="0.25">
      <c r="B276">
        <v>2747</v>
      </c>
    </row>
    <row r="277" spans="2:2" x14ac:dyDescent="0.25">
      <c r="B277">
        <v>2757</v>
      </c>
    </row>
    <row r="278" spans="2:2" x14ac:dyDescent="0.25">
      <c r="B278">
        <v>2767</v>
      </c>
    </row>
    <row r="279" spans="2:2" x14ac:dyDescent="0.25">
      <c r="B279">
        <v>2777</v>
      </c>
    </row>
    <row r="280" spans="2:2" x14ac:dyDescent="0.25">
      <c r="B280">
        <v>2787</v>
      </c>
    </row>
    <row r="281" spans="2:2" x14ac:dyDescent="0.25">
      <c r="B281">
        <v>2797</v>
      </c>
    </row>
    <row r="282" spans="2:2" x14ac:dyDescent="0.25">
      <c r="B282">
        <v>2807</v>
      </c>
    </row>
    <row r="283" spans="2:2" x14ac:dyDescent="0.25">
      <c r="B283">
        <v>2817</v>
      </c>
    </row>
    <row r="284" spans="2:2" x14ac:dyDescent="0.25">
      <c r="B284">
        <v>2827</v>
      </c>
    </row>
    <row r="285" spans="2:2" x14ac:dyDescent="0.25">
      <c r="B285">
        <v>2837</v>
      </c>
    </row>
    <row r="286" spans="2:2" x14ac:dyDescent="0.25">
      <c r="B286">
        <v>2847</v>
      </c>
    </row>
    <row r="287" spans="2:2" x14ac:dyDescent="0.25">
      <c r="B287">
        <v>2857</v>
      </c>
    </row>
    <row r="288" spans="2:2" x14ac:dyDescent="0.25">
      <c r="B288">
        <v>2867</v>
      </c>
    </row>
    <row r="289" spans="2:2" x14ac:dyDescent="0.25">
      <c r="B289">
        <v>2877</v>
      </c>
    </row>
    <row r="290" spans="2:2" x14ac:dyDescent="0.25">
      <c r="B290">
        <v>2887</v>
      </c>
    </row>
    <row r="291" spans="2:2" x14ac:dyDescent="0.25">
      <c r="B291">
        <v>2897</v>
      </c>
    </row>
    <row r="292" spans="2:2" x14ac:dyDescent="0.25">
      <c r="B292">
        <v>2907</v>
      </c>
    </row>
    <row r="293" spans="2:2" x14ac:dyDescent="0.25">
      <c r="B293">
        <v>2917</v>
      </c>
    </row>
    <row r="294" spans="2:2" x14ac:dyDescent="0.25">
      <c r="B294">
        <v>2927</v>
      </c>
    </row>
    <row r="295" spans="2:2" x14ac:dyDescent="0.25">
      <c r="B295">
        <v>2937</v>
      </c>
    </row>
    <row r="296" spans="2:2" x14ac:dyDescent="0.25">
      <c r="B296">
        <v>2947</v>
      </c>
    </row>
    <row r="297" spans="2:2" x14ac:dyDescent="0.25">
      <c r="B297">
        <v>2957</v>
      </c>
    </row>
    <row r="298" spans="2:2" x14ac:dyDescent="0.25">
      <c r="B298">
        <v>2967</v>
      </c>
    </row>
    <row r="299" spans="2:2" x14ac:dyDescent="0.25">
      <c r="B299">
        <v>2977</v>
      </c>
    </row>
    <row r="300" spans="2:2" x14ac:dyDescent="0.25">
      <c r="B300">
        <v>2987</v>
      </c>
    </row>
    <row r="301" spans="2:2" x14ac:dyDescent="0.25">
      <c r="B301">
        <v>2997</v>
      </c>
    </row>
    <row r="302" spans="2:2" x14ac:dyDescent="0.25">
      <c r="B302">
        <v>3007</v>
      </c>
    </row>
    <row r="303" spans="2:2" x14ac:dyDescent="0.25">
      <c r="B303">
        <v>3017</v>
      </c>
    </row>
    <row r="304" spans="2:2" x14ac:dyDescent="0.25">
      <c r="B304">
        <v>3027</v>
      </c>
    </row>
    <row r="305" spans="2:2" x14ac:dyDescent="0.25">
      <c r="B305">
        <v>3037</v>
      </c>
    </row>
    <row r="306" spans="2:2" x14ac:dyDescent="0.25">
      <c r="B306">
        <v>3047</v>
      </c>
    </row>
    <row r="307" spans="2:2" x14ac:dyDescent="0.25">
      <c r="B307">
        <v>3057</v>
      </c>
    </row>
    <row r="308" spans="2:2" x14ac:dyDescent="0.25">
      <c r="B308">
        <v>3067</v>
      </c>
    </row>
    <row r="309" spans="2:2" x14ac:dyDescent="0.25">
      <c r="B309">
        <v>3077</v>
      </c>
    </row>
    <row r="310" spans="2:2" x14ac:dyDescent="0.25">
      <c r="B310">
        <v>3087</v>
      </c>
    </row>
    <row r="311" spans="2:2" x14ac:dyDescent="0.25">
      <c r="B311">
        <v>3097</v>
      </c>
    </row>
    <row r="312" spans="2:2" x14ac:dyDescent="0.25">
      <c r="B312">
        <v>3107</v>
      </c>
    </row>
    <row r="313" spans="2:2" x14ac:dyDescent="0.25">
      <c r="B313">
        <v>3117</v>
      </c>
    </row>
    <row r="314" spans="2:2" x14ac:dyDescent="0.25">
      <c r="B314">
        <v>3127</v>
      </c>
    </row>
    <row r="315" spans="2:2" x14ac:dyDescent="0.25">
      <c r="B315">
        <v>3137</v>
      </c>
    </row>
    <row r="316" spans="2:2" x14ac:dyDescent="0.25">
      <c r="B316">
        <v>3147</v>
      </c>
    </row>
    <row r="317" spans="2:2" x14ac:dyDescent="0.25">
      <c r="B317">
        <v>3157</v>
      </c>
    </row>
    <row r="318" spans="2:2" x14ac:dyDescent="0.25">
      <c r="B318">
        <v>3167</v>
      </c>
    </row>
    <row r="319" spans="2:2" x14ac:dyDescent="0.25">
      <c r="B319">
        <v>3177</v>
      </c>
    </row>
    <row r="320" spans="2:2" x14ac:dyDescent="0.25">
      <c r="B320">
        <v>3187</v>
      </c>
    </row>
    <row r="321" spans="2:2" x14ac:dyDescent="0.25">
      <c r="B321">
        <v>3197</v>
      </c>
    </row>
    <row r="322" spans="2:2" x14ac:dyDescent="0.25">
      <c r="B322">
        <v>3207</v>
      </c>
    </row>
    <row r="323" spans="2:2" x14ac:dyDescent="0.25">
      <c r="B323">
        <v>3217</v>
      </c>
    </row>
    <row r="324" spans="2:2" x14ac:dyDescent="0.25">
      <c r="B324">
        <v>3227</v>
      </c>
    </row>
    <row r="325" spans="2:2" x14ac:dyDescent="0.25">
      <c r="B325">
        <v>3237</v>
      </c>
    </row>
    <row r="326" spans="2:2" x14ac:dyDescent="0.25">
      <c r="B326">
        <v>3247</v>
      </c>
    </row>
    <row r="327" spans="2:2" x14ac:dyDescent="0.25">
      <c r="B327">
        <v>3257</v>
      </c>
    </row>
    <row r="328" spans="2:2" x14ac:dyDescent="0.25">
      <c r="B328">
        <v>3267</v>
      </c>
    </row>
    <row r="329" spans="2:2" x14ac:dyDescent="0.25">
      <c r="B329">
        <v>3277</v>
      </c>
    </row>
    <row r="330" spans="2:2" x14ac:dyDescent="0.25">
      <c r="B330">
        <v>3287</v>
      </c>
    </row>
    <row r="331" spans="2:2" x14ac:dyDescent="0.25">
      <c r="B331">
        <v>3297</v>
      </c>
    </row>
    <row r="332" spans="2:2" x14ac:dyDescent="0.25">
      <c r="B332">
        <v>3307</v>
      </c>
    </row>
    <row r="333" spans="2:2" x14ac:dyDescent="0.25">
      <c r="B333">
        <v>3317</v>
      </c>
    </row>
    <row r="334" spans="2:2" x14ac:dyDescent="0.25">
      <c r="B334">
        <v>3327</v>
      </c>
    </row>
    <row r="335" spans="2:2" x14ac:dyDescent="0.25">
      <c r="B335">
        <v>3337</v>
      </c>
    </row>
    <row r="336" spans="2:2" x14ac:dyDescent="0.25">
      <c r="B336">
        <v>3347</v>
      </c>
    </row>
    <row r="337" spans="2:2" x14ac:dyDescent="0.25">
      <c r="B337">
        <v>3357</v>
      </c>
    </row>
    <row r="338" spans="2:2" x14ac:dyDescent="0.25">
      <c r="B338">
        <v>3367</v>
      </c>
    </row>
    <row r="339" spans="2:2" x14ac:dyDescent="0.25">
      <c r="B339">
        <v>3377</v>
      </c>
    </row>
    <row r="340" spans="2:2" x14ac:dyDescent="0.25">
      <c r="B340">
        <v>3387</v>
      </c>
    </row>
    <row r="341" spans="2:2" x14ac:dyDescent="0.25">
      <c r="B341">
        <v>3397</v>
      </c>
    </row>
    <row r="342" spans="2:2" x14ac:dyDescent="0.25">
      <c r="B342">
        <v>3407</v>
      </c>
    </row>
    <row r="343" spans="2:2" x14ac:dyDescent="0.25">
      <c r="B343">
        <v>3417</v>
      </c>
    </row>
    <row r="344" spans="2:2" x14ac:dyDescent="0.25">
      <c r="B344">
        <v>3427</v>
      </c>
    </row>
    <row r="345" spans="2:2" x14ac:dyDescent="0.25">
      <c r="B345">
        <v>3437</v>
      </c>
    </row>
    <row r="346" spans="2:2" x14ac:dyDescent="0.25">
      <c r="B346">
        <v>3447</v>
      </c>
    </row>
    <row r="347" spans="2:2" x14ac:dyDescent="0.25">
      <c r="B347">
        <v>3457</v>
      </c>
    </row>
    <row r="348" spans="2:2" x14ac:dyDescent="0.25">
      <c r="B348">
        <v>3467</v>
      </c>
    </row>
    <row r="349" spans="2:2" x14ac:dyDescent="0.25">
      <c r="B349">
        <v>3477</v>
      </c>
    </row>
    <row r="350" spans="2:2" x14ac:dyDescent="0.25">
      <c r="B350">
        <v>3487</v>
      </c>
    </row>
    <row r="351" spans="2:2" x14ac:dyDescent="0.25">
      <c r="B351">
        <v>3497</v>
      </c>
    </row>
    <row r="352" spans="2:2" x14ac:dyDescent="0.25">
      <c r="B352">
        <v>3507</v>
      </c>
    </row>
    <row r="353" spans="2:2" x14ac:dyDescent="0.25">
      <c r="B353">
        <v>3517</v>
      </c>
    </row>
    <row r="354" spans="2:2" x14ac:dyDescent="0.25">
      <c r="B354">
        <v>3527</v>
      </c>
    </row>
    <row r="355" spans="2:2" x14ac:dyDescent="0.25">
      <c r="B355">
        <v>3537</v>
      </c>
    </row>
    <row r="356" spans="2:2" x14ac:dyDescent="0.25">
      <c r="B356">
        <v>3547</v>
      </c>
    </row>
    <row r="357" spans="2:2" x14ac:dyDescent="0.25">
      <c r="B357">
        <v>3557</v>
      </c>
    </row>
    <row r="358" spans="2:2" x14ac:dyDescent="0.25">
      <c r="B358">
        <v>3567</v>
      </c>
    </row>
    <row r="359" spans="2:2" x14ac:dyDescent="0.25">
      <c r="B359">
        <v>3577</v>
      </c>
    </row>
    <row r="360" spans="2:2" x14ac:dyDescent="0.25">
      <c r="B360">
        <v>3587</v>
      </c>
    </row>
    <row r="361" spans="2:2" x14ac:dyDescent="0.25">
      <c r="B361">
        <v>3597</v>
      </c>
    </row>
    <row r="362" spans="2:2" x14ac:dyDescent="0.25">
      <c r="B362">
        <v>3607</v>
      </c>
    </row>
    <row r="363" spans="2:2" x14ac:dyDescent="0.25">
      <c r="B363">
        <v>3617</v>
      </c>
    </row>
    <row r="364" spans="2:2" x14ac:dyDescent="0.25">
      <c r="B364">
        <v>3627</v>
      </c>
    </row>
    <row r="365" spans="2:2" x14ac:dyDescent="0.25">
      <c r="B365">
        <v>3637</v>
      </c>
    </row>
    <row r="366" spans="2:2" x14ac:dyDescent="0.25">
      <c r="B366">
        <v>3647</v>
      </c>
    </row>
    <row r="367" spans="2:2" x14ac:dyDescent="0.25">
      <c r="B367">
        <v>3657</v>
      </c>
    </row>
    <row r="368" spans="2:2" x14ac:dyDescent="0.25">
      <c r="B368">
        <v>3667</v>
      </c>
    </row>
    <row r="369" spans="2:2" x14ac:dyDescent="0.25">
      <c r="B369">
        <v>3677</v>
      </c>
    </row>
    <row r="370" spans="2:2" x14ac:dyDescent="0.25">
      <c r="B370">
        <v>3687</v>
      </c>
    </row>
    <row r="371" spans="2:2" x14ac:dyDescent="0.25">
      <c r="B371">
        <v>3697</v>
      </c>
    </row>
    <row r="372" spans="2:2" x14ac:dyDescent="0.25">
      <c r="B372">
        <v>3707</v>
      </c>
    </row>
    <row r="373" spans="2:2" x14ac:dyDescent="0.25">
      <c r="B373">
        <v>3717</v>
      </c>
    </row>
    <row r="374" spans="2:2" x14ac:dyDescent="0.25">
      <c r="B374">
        <v>3727</v>
      </c>
    </row>
    <row r="375" spans="2:2" x14ac:dyDescent="0.25">
      <c r="B375">
        <v>3737</v>
      </c>
    </row>
    <row r="376" spans="2:2" x14ac:dyDescent="0.25">
      <c r="B376">
        <v>3747</v>
      </c>
    </row>
    <row r="377" spans="2:2" x14ac:dyDescent="0.25">
      <c r="B377">
        <v>3757</v>
      </c>
    </row>
    <row r="378" spans="2:2" x14ac:dyDescent="0.25">
      <c r="B378">
        <v>3767</v>
      </c>
    </row>
    <row r="379" spans="2:2" x14ac:dyDescent="0.25">
      <c r="B379">
        <v>3777</v>
      </c>
    </row>
    <row r="380" spans="2:2" x14ac:dyDescent="0.25">
      <c r="B380">
        <v>3787</v>
      </c>
    </row>
    <row r="381" spans="2:2" x14ac:dyDescent="0.25">
      <c r="B381">
        <v>3797</v>
      </c>
    </row>
    <row r="382" spans="2:2" x14ac:dyDescent="0.25">
      <c r="B382">
        <v>3807</v>
      </c>
    </row>
    <row r="383" spans="2:2" x14ac:dyDescent="0.25">
      <c r="B383">
        <v>3817</v>
      </c>
    </row>
    <row r="384" spans="2:2" x14ac:dyDescent="0.25">
      <c r="B384">
        <v>3827</v>
      </c>
    </row>
    <row r="385" spans="2:2" x14ac:dyDescent="0.25">
      <c r="B385">
        <v>3837</v>
      </c>
    </row>
    <row r="386" spans="2:2" x14ac:dyDescent="0.25">
      <c r="B386">
        <v>3847</v>
      </c>
    </row>
    <row r="387" spans="2:2" x14ac:dyDescent="0.25">
      <c r="B387">
        <v>3857</v>
      </c>
    </row>
    <row r="388" spans="2:2" x14ac:dyDescent="0.25">
      <c r="B388">
        <v>3867</v>
      </c>
    </row>
    <row r="389" spans="2:2" x14ac:dyDescent="0.25">
      <c r="B389">
        <v>3877</v>
      </c>
    </row>
    <row r="390" spans="2:2" x14ac:dyDescent="0.25">
      <c r="B390">
        <v>3887</v>
      </c>
    </row>
    <row r="391" spans="2:2" x14ac:dyDescent="0.25">
      <c r="B391">
        <v>3897</v>
      </c>
    </row>
    <row r="392" spans="2:2" x14ac:dyDescent="0.25">
      <c r="B392">
        <v>3907</v>
      </c>
    </row>
    <row r="393" spans="2:2" x14ac:dyDescent="0.25">
      <c r="B393">
        <v>3917</v>
      </c>
    </row>
    <row r="394" spans="2:2" x14ac:dyDescent="0.25">
      <c r="B394">
        <v>3927</v>
      </c>
    </row>
    <row r="395" spans="2:2" x14ac:dyDescent="0.25">
      <c r="B395">
        <v>3937</v>
      </c>
    </row>
    <row r="396" spans="2:2" x14ac:dyDescent="0.25">
      <c r="B396">
        <v>3947</v>
      </c>
    </row>
    <row r="397" spans="2:2" x14ac:dyDescent="0.25">
      <c r="B397">
        <v>3957</v>
      </c>
    </row>
    <row r="398" spans="2:2" x14ac:dyDescent="0.25">
      <c r="B398">
        <v>3967</v>
      </c>
    </row>
    <row r="399" spans="2:2" x14ac:dyDescent="0.25">
      <c r="B399">
        <v>3977</v>
      </c>
    </row>
    <row r="400" spans="2:2" x14ac:dyDescent="0.25">
      <c r="B400">
        <v>3987</v>
      </c>
    </row>
    <row r="401" spans="2:2" x14ac:dyDescent="0.25">
      <c r="B401">
        <v>3997</v>
      </c>
    </row>
    <row r="402" spans="2:2" x14ac:dyDescent="0.25">
      <c r="B402">
        <v>4007</v>
      </c>
    </row>
    <row r="403" spans="2:2" x14ac:dyDescent="0.25">
      <c r="B403">
        <v>4017</v>
      </c>
    </row>
    <row r="404" spans="2:2" x14ac:dyDescent="0.25">
      <c r="B404">
        <v>4027</v>
      </c>
    </row>
    <row r="405" spans="2:2" x14ac:dyDescent="0.25">
      <c r="B405">
        <v>4037</v>
      </c>
    </row>
    <row r="406" spans="2:2" x14ac:dyDescent="0.25">
      <c r="B406">
        <v>4047</v>
      </c>
    </row>
    <row r="407" spans="2:2" x14ac:dyDescent="0.25">
      <c r="B407">
        <v>4057</v>
      </c>
    </row>
    <row r="408" spans="2:2" x14ac:dyDescent="0.25">
      <c r="B408">
        <v>4067</v>
      </c>
    </row>
    <row r="409" spans="2:2" x14ac:dyDescent="0.25">
      <c r="B409">
        <v>4077</v>
      </c>
    </row>
    <row r="410" spans="2:2" x14ac:dyDescent="0.25">
      <c r="B410">
        <v>4087</v>
      </c>
    </row>
    <row r="411" spans="2:2" x14ac:dyDescent="0.25">
      <c r="B411">
        <v>4097</v>
      </c>
    </row>
    <row r="412" spans="2:2" x14ac:dyDescent="0.25">
      <c r="B412">
        <v>4107</v>
      </c>
    </row>
    <row r="413" spans="2:2" x14ac:dyDescent="0.25">
      <c r="B413">
        <v>4117</v>
      </c>
    </row>
    <row r="414" spans="2:2" x14ac:dyDescent="0.25">
      <c r="B414">
        <v>4127</v>
      </c>
    </row>
    <row r="415" spans="2:2" x14ac:dyDescent="0.25">
      <c r="B415">
        <v>4137</v>
      </c>
    </row>
    <row r="416" spans="2:2" x14ac:dyDescent="0.25">
      <c r="B416">
        <v>4147</v>
      </c>
    </row>
    <row r="417" spans="2:2" x14ac:dyDescent="0.25">
      <c r="B417">
        <v>4157</v>
      </c>
    </row>
    <row r="418" spans="2:2" x14ac:dyDescent="0.25">
      <c r="B418">
        <v>4167</v>
      </c>
    </row>
    <row r="419" spans="2:2" x14ac:dyDescent="0.25">
      <c r="B419">
        <v>4177</v>
      </c>
    </row>
    <row r="420" spans="2:2" x14ac:dyDescent="0.25">
      <c r="B420">
        <v>4187</v>
      </c>
    </row>
    <row r="421" spans="2:2" x14ac:dyDescent="0.25">
      <c r="B421">
        <v>4197</v>
      </c>
    </row>
    <row r="422" spans="2:2" x14ac:dyDescent="0.25">
      <c r="B422">
        <v>4207</v>
      </c>
    </row>
    <row r="423" spans="2:2" x14ac:dyDescent="0.25">
      <c r="B423">
        <v>4217</v>
      </c>
    </row>
    <row r="424" spans="2:2" x14ac:dyDescent="0.25">
      <c r="B424">
        <v>4227</v>
      </c>
    </row>
    <row r="425" spans="2:2" x14ac:dyDescent="0.25">
      <c r="B425">
        <v>4237</v>
      </c>
    </row>
    <row r="426" spans="2:2" x14ac:dyDescent="0.25">
      <c r="B426">
        <v>4247</v>
      </c>
    </row>
    <row r="427" spans="2:2" x14ac:dyDescent="0.25">
      <c r="B427">
        <v>4257</v>
      </c>
    </row>
    <row r="428" spans="2:2" x14ac:dyDescent="0.25">
      <c r="B428">
        <v>4267</v>
      </c>
    </row>
    <row r="429" spans="2:2" x14ac:dyDescent="0.25">
      <c r="B429">
        <v>4277</v>
      </c>
    </row>
    <row r="430" spans="2:2" x14ac:dyDescent="0.25">
      <c r="B430">
        <v>4287</v>
      </c>
    </row>
    <row r="431" spans="2:2" x14ac:dyDescent="0.25">
      <c r="B431">
        <v>4297</v>
      </c>
    </row>
    <row r="432" spans="2:2" x14ac:dyDescent="0.25">
      <c r="B432">
        <v>4307</v>
      </c>
    </row>
    <row r="433" spans="2:2" x14ac:dyDescent="0.25">
      <c r="B433">
        <v>4317</v>
      </c>
    </row>
    <row r="434" spans="2:2" x14ac:dyDescent="0.25">
      <c r="B434">
        <v>4327</v>
      </c>
    </row>
    <row r="435" spans="2:2" x14ac:dyDescent="0.25">
      <c r="B435">
        <v>4337</v>
      </c>
    </row>
    <row r="436" spans="2:2" x14ac:dyDescent="0.25">
      <c r="B436">
        <v>4347</v>
      </c>
    </row>
    <row r="437" spans="2:2" x14ac:dyDescent="0.25">
      <c r="B437">
        <v>4357</v>
      </c>
    </row>
    <row r="438" spans="2:2" x14ac:dyDescent="0.25">
      <c r="B438">
        <v>4367</v>
      </c>
    </row>
    <row r="439" spans="2:2" x14ac:dyDescent="0.25">
      <c r="B439">
        <v>4377</v>
      </c>
    </row>
    <row r="440" spans="2:2" x14ac:dyDescent="0.25">
      <c r="B440">
        <v>4387</v>
      </c>
    </row>
    <row r="441" spans="2:2" x14ac:dyDescent="0.25">
      <c r="B441">
        <v>4397</v>
      </c>
    </row>
    <row r="442" spans="2:2" x14ac:dyDescent="0.25">
      <c r="B442">
        <v>4407</v>
      </c>
    </row>
    <row r="443" spans="2:2" x14ac:dyDescent="0.25">
      <c r="B443">
        <v>4417</v>
      </c>
    </row>
    <row r="444" spans="2:2" x14ac:dyDescent="0.25">
      <c r="B444">
        <v>4427</v>
      </c>
    </row>
    <row r="445" spans="2:2" x14ac:dyDescent="0.25">
      <c r="B445">
        <v>4437</v>
      </c>
    </row>
    <row r="446" spans="2:2" x14ac:dyDescent="0.25">
      <c r="B446">
        <v>4447</v>
      </c>
    </row>
    <row r="447" spans="2:2" x14ac:dyDescent="0.25">
      <c r="B447">
        <v>4457</v>
      </c>
    </row>
    <row r="448" spans="2:2" x14ac:dyDescent="0.25">
      <c r="B448">
        <v>4467</v>
      </c>
    </row>
    <row r="449" spans="2:2" x14ac:dyDescent="0.25">
      <c r="B449">
        <v>4477</v>
      </c>
    </row>
    <row r="450" spans="2:2" x14ac:dyDescent="0.25">
      <c r="B450">
        <v>4487</v>
      </c>
    </row>
    <row r="451" spans="2:2" x14ac:dyDescent="0.25">
      <c r="B451">
        <v>4497</v>
      </c>
    </row>
    <row r="452" spans="2:2" x14ac:dyDescent="0.25">
      <c r="B452">
        <v>4507</v>
      </c>
    </row>
    <row r="453" spans="2:2" x14ac:dyDescent="0.25">
      <c r="B453">
        <v>4517</v>
      </c>
    </row>
    <row r="454" spans="2:2" x14ac:dyDescent="0.25">
      <c r="B454">
        <v>4527</v>
      </c>
    </row>
    <row r="455" spans="2:2" x14ac:dyDescent="0.25">
      <c r="B455">
        <v>4537</v>
      </c>
    </row>
    <row r="456" spans="2:2" x14ac:dyDescent="0.25">
      <c r="B456">
        <v>4547</v>
      </c>
    </row>
    <row r="457" spans="2:2" x14ac:dyDescent="0.25">
      <c r="B457">
        <v>4557</v>
      </c>
    </row>
    <row r="458" spans="2:2" x14ac:dyDescent="0.25">
      <c r="B458">
        <v>4567</v>
      </c>
    </row>
    <row r="459" spans="2:2" x14ac:dyDescent="0.25">
      <c r="B459">
        <v>4577</v>
      </c>
    </row>
    <row r="460" spans="2:2" x14ac:dyDescent="0.25">
      <c r="B460">
        <v>4587</v>
      </c>
    </row>
    <row r="461" spans="2:2" x14ac:dyDescent="0.25">
      <c r="B461">
        <v>4597</v>
      </c>
    </row>
    <row r="462" spans="2:2" x14ac:dyDescent="0.25">
      <c r="B462">
        <v>4607</v>
      </c>
    </row>
    <row r="463" spans="2:2" x14ac:dyDescent="0.25">
      <c r="B463">
        <v>4617</v>
      </c>
    </row>
    <row r="464" spans="2:2" x14ac:dyDescent="0.25">
      <c r="B464">
        <v>4627</v>
      </c>
    </row>
    <row r="465" spans="2:2" x14ac:dyDescent="0.25">
      <c r="B465">
        <v>4637</v>
      </c>
    </row>
    <row r="466" spans="2:2" x14ac:dyDescent="0.25">
      <c r="B466">
        <v>4647</v>
      </c>
    </row>
    <row r="467" spans="2:2" x14ac:dyDescent="0.25">
      <c r="B467">
        <v>4657</v>
      </c>
    </row>
    <row r="468" spans="2:2" x14ac:dyDescent="0.25">
      <c r="B468">
        <v>4667</v>
      </c>
    </row>
    <row r="469" spans="2:2" x14ac:dyDescent="0.25">
      <c r="B469">
        <v>4677</v>
      </c>
    </row>
    <row r="470" spans="2:2" x14ac:dyDescent="0.25">
      <c r="B470">
        <v>4687</v>
      </c>
    </row>
    <row r="471" spans="2:2" x14ac:dyDescent="0.25">
      <c r="B471">
        <v>4697</v>
      </c>
    </row>
    <row r="472" spans="2:2" x14ac:dyDescent="0.25">
      <c r="B472">
        <v>4707</v>
      </c>
    </row>
    <row r="473" spans="2:2" x14ac:dyDescent="0.25">
      <c r="B473">
        <v>4717</v>
      </c>
    </row>
    <row r="474" spans="2:2" x14ac:dyDescent="0.25">
      <c r="B474">
        <v>4727</v>
      </c>
    </row>
    <row r="475" spans="2:2" x14ac:dyDescent="0.25">
      <c r="B475">
        <v>4737</v>
      </c>
    </row>
    <row r="476" spans="2:2" x14ac:dyDescent="0.25">
      <c r="B476">
        <v>4747</v>
      </c>
    </row>
    <row r="477" spans="2:2" x14ac:dyDescent="0.25">
      <c r="B477">
        <v>4757</v>
      </c>
    </row>
    <row r="478" spans="2:2" x14ac:dyDescent="0.25">
      <c r="B478">
        <v>4767</v>
      </c>
    </row>
    <row r="479" spans="2:2" x14ac:dyDescent="0.25">
      <c r="B479">
        <v>4777</v>
      </c>
    </row>
    <row r="480" spans="2:2" x14ac:dyDescent="0.25">
      <c r="B480">
        <v>4787</v>
      </c>
    </row>
    <row r="481" spans="2:2" x14ac:dyDescent="0.25">
      <c r="B481">
        <v>4797</v>
      </c>
    </row>
    <row r="482" spans="2:2" x14ac:dyDescent="0.25">
      <c r="B482">
        <v>4807</v>
      </c>
    </row>
    <row r="483" spans="2:2" x14ac:dyDescent="0.25">
      <c r="B483">
        <v>4817</v>
      </c>
    </row>
    <row r="484" spans="2:2" x14ac:dyDescent="0.25">
      <c r="B484">
        <v>4827</v>
      </c>
    </row>
    <row r="485" spans="2:2" x14ac:dyDescent="0.25">
      <c r="B485">
        <v>4837</v>
      </c>
    </row>
    <row r="486" spans="2:2" x14ac:dyDescent="0.25">
      <c r="B486">
        <v>4847</v>
      </c>
    </row>
    <row r="487" spans="2:2" x14ac:dyDescent="0.25">
      <c r="B487">
        <v>4857</v>
      </c>
    </row>
    <row r="488" spans="2:2" x14ac:dyDescent="0.25">
      <c r="B488">
        <v>4867</v>
      </c>
    </row>
    <row r="489" spans="2:2" x14ac:dyDescent="0.25">
      <c r="B489">
        <v>4877</v>
      </c>
    </row>
    <row r="490" spans="2:2" x14ac:dyDescent="0.25">
      <c r="B490">
        <v>4887</v>
      </c>
    </row>
    <row r="491" spans="2:2" x14ac:dyDescent="0.25">
      <c r="B491">
        <v>4897</v>
      </c>
    </row>
    <row r="492" spans="2:2" x14ac:dyDescent="0.25">
      <c r="B492">
        <v>4907</v>
      </c>
    </row>
    <row r="493" spans="2:2" x14ac:dyDescent="0.25">
      <c r="B493">
        <v>4917</v>
      </c>
    </row>
    <row r="494" spans="2:2" x14ac:dyDescent="0.25">
      <c r="B494">
        <v>4927</v>
      </c>
    </row>
    <row r="495" spans="2:2" x14ac:dyDescent="0.25">
      <c r="B495">
        <v>4937</v>
      </c>
    </row>
    <row r="496" spans="2:2" x14ac:dyDescent="0.25">
      <c r="B496">
        <v>4947</v>
      </c>
    </row>
    <row r="497" spans="2:2" x14ac:dyDescent="0.25">
      <c r="B497">
        <v>4957</v>
      </c>
    </row>
    <row r="498" spans="2:2" x14ac:dyDescent="0.25">
      <c r="B498">
        <v>4967</v>
      </c>
    </row>
    <row r="499" spans="2:2" x14ac:dyDescent="0.25">
      <c r="B499">
        <v>4977</v>
      </c>
    </row>
    <row r="500" spans="2:2" x14ac:dyDescent="0.25">
      <c r="B500">
        <v>4987</v>
      </c>
    </row>
    <row r="501" spans="2:2" x14ac:dyDescent="0.25">
      <c r="B501">
        <v>4997</v>
      </c>
    </row>
    <row r="502" spans="2:2" x14ac:dyDescent="0.25">
      <c r="B502">
        <v>5007</v>
      </c>
    </row>
    <row r="503" spans="2:2" x14ac:dyDescent="0.25">
      <c r="B503">
        <v>5017</v>
      </c>
    </row>
    <row r="504" spans="2:2" x14ac:dyDescent="0.25">
      <c r="B504">
        <v>5027</v>
      </c>
    </row>
    <row r="505" spans="2:2" x14ac:dyDescent="0.25">
      <c r="B505">
        <v>5037</v>
      </c>
    </row>
    <row r="506" spans="2:2" x14ac:dyDescent="0.25">
      <c r="B506">
        <v>5047</v>
      </c>
    </row>
    <row r="507" spans="2:2" x14ac:dyDescent="0.25">
      <c r="B507">
        <v>5057</v>
      </c>
    </row>
    <row r="508" spans="2:2" x14ac:dyDescent="0.25">
      <c r="B508">
        <v>5067</v>
      </c>
    </row>
    <row r="509" spans="2:2" x14ac:dyDescent="0.25">
      <c r="B509">
        <v>5077</v>
      </c>
    </row>
    <row r="510" spans="2:2" x14ac:dyDescent="0.25">
      <c r="B510">
        <v>5087</v>
      </c>
    </row>
    <row r="511" spans="2:2" x14ac:dyDescent="0.25">
      <c r="B511">
        <v>5097</v>
      </c>
    </row>
    <row r="512" spans="2:2" x14ac:dyDescent="0.25">
      <c r="B512">
        <v>5107</v>
      </c>
    </row>
    <row r="513" spans="2:2" x14ac:dyDescent="0.25">
      <c r="B513">
        <v>5117</v>
      </c>
    </row>
    <row r="514" spans="2:2" x14ac:dyDescent="0.25">
      <c r="B514">
        <v>5127</v>
      </c>
    </row>
    <row r="515" spans="2:2" x14ac:dyDescent="0.25">
      <c r="B515">
        <v>5137</v>
      </c>
    </row>
    <row r="516" spans="2:2" x14ac:dyDescent="0.25">
      <c r="B516">
        <v>5147</v>
      </c>
    </row>
    <row r="517" spans="2:2" x14ac:dyDescent="0.25">
      <c r="B517">
        <v>5157</v>
      </c>
    </row>
    <row r="518" spans="2:2" x14ac:dyDescent="0.25">
      <c r="B518">
        <v>5167</v>
      </c>
    </row>
    <row r="519" spans="2:2" x14ac:dyDescent="0.25">
      <c r="B519">
        <v>5177</v>
      </c>
    </row>
    <row r="520" spans="2:2" x14ac:dyDescent="0.25">
      <c r="B520">
        <v>5187</v>
      </c>
    </row>
    <row r="521" spans="2:2" x14ac:dyDescent="0.25">
      <c r="B521">
        <v>5197</v>
      </c>
    </row>
    <row r="522" spans="2:2" x14ac:dyDescent="0.25">
      <c r="B522">
        <v>5207</v>
      </c>
    </row>
    <row r="523" spans="2:2" x14ac:dyDescent="0.25">
      <c r="B523">
        <v>5217</v>
      </c>
    </row>
    <row r="524" spans="2:2" x14ac:dyDescent="0.25">
      <c r="B524">
        <v>5227</v>
      </c>
    </row>
    <row r="525" spans="2:2" x14ac:dyDescent="0.25">
      <c r="B525">
        <v>5237</v>
      </c>
    </row>
    <row r="526" spans="2:2" x14ac:dyDescent="0.25">
      <c r="B526">
        <v>5247</v>
      </c>
    </row>
    <row r="527" spans="2:2" x14ac:dyDescent="0.25">
      <c r="B527">
        <v>5257</v>
      </c>
    </row>
    <row r="528" spans="2:2" x14ac:dyDescent="0.25">
      <c r="B528">
        <v>5267</v>
      </c>
    </row>
    <row r="529" spans="2:2" x14ac:dyDescent="0.25">
      <c r="B529">
        <v>5277</v>
      </c>
    </row>
    <row r="530" spans="2:2" x14ac:dyDescent="0.25">
      <c r="B530">
        <v>5287</v>
      </c>
    </row>
    <row r="531" spans="2:2" x14ac:dyDescent="0.25">
      <c r="B531">
        <v>5297</v>
      </c>
    </row>
    <row r="532" spans="2:2" x14ac:dyDescent="0.25">
      <c r="B532">
        <v>5307</v>
      </c>
    </row>
    <row r="533" spans="2:2" x14ac:dyDescent="0.25">
      <c r="B533">
        <v>5317</v>
      </c>
    </row>
    <row r="534" spans="2:2" x14ac:dyDescent="0.25">
      <c r="B534">
        <v>5327</v>
      </c>
    </row>
    <row r="535" spans="2:2" x14ac:dyDescent="0.25">
      <c r="B535">
        <v>5337</v>
      </c>
    </row>
    <row r="536" spans="2:2" x14ac:dyDescent="0.25">
      <c r="B536">
        <v>5347</v>
      </c>
    </row>
    <row r="537" spans="2:2" x14ac:dyDescent="0.25">
      <c r="B537">
        <v>5357</v>
      </c>
    </row>
    <row r="538" spans="2:2" x14ac:dyDescent="0.25">
      <c r="B538">
        <v>5367</v>
      </c>
    </row>
    <row r="539" spans="2:2" x14ac:dyDescent="0.25">
      <c r="B539">
        <v>5377</v>
      </c>
    </row>
    <row r="540" spans="2:2" x14ac:dyDescent="0.25">
      <c r="B540">
        <v>5387</v>
      </c>
    </row>
    <row r="541" spans="2:2" x14ac:dyDescent="0.25">
      <c r="B541">
        <v>5397</v>
      </c>
    </row>
    <row r="542" spans="2:2" x14ac:dyDescent="0.25">
      <c r="B542">
        <v>5407</v>
      </c>
    </row>
    <row r="543" spans="2:2" x14ac:dyDescent="0.25">
      <c r="B543">
        <v>5417</v>
      </c>
    </row>
    <row r="544" spans="2:2" x14ac:dyDescent="0.25">
      <c r="B544">
        <v>5427</v>
      </c>
    </row>
    <row r="545" spans="2:2" x14ac:dyDescent="0.25">
      <c r="B545">
        <v>5437</v>
      </c>
    </row>
    <row r="546" spans="2:2" x14ac:dyDescent="0.25">
      <c r="B546">
        <v>5447</v>
      </c>
    </row>
    <row r="547" spans="2:2" x14ac:dyDescent="0.25">
      <c r="B547">
        <v>5457</v>
      </c>
    </row>
    <row r="548" spans="2:2" x14ac:dyDescent="0.25">
      <c r="B548">
        <v>5467</v>
      </c>
    </row>
    <row r="549" spans="2:2" x14ac:dyDescent="0.25">
      <c r="B549">
        <v>5477</v>
      </c>
    </row>
    <row r="550" spans="2:2" x14ac:dyDescent="0.25">
      <c r="B550">
        <v>5487</v>
      </c>
    </row>
    <row r="551" spans="2:2" x14ac:dyDescent="0.25">
      <c r="B551">
        <v>5497</v>
      </c>
    </row>
    <row r="552" spans="2:2" x14ac:dyDescent="0.25">
      <c r="B552">
        <v>5507</v>
      </c>
    </row>
    <row r="553" spans="2:2" x14ac:dyDescent="0.25">
      <c r="B553">
        <v>5517</v>
      </c>
    </row>
    <row r="554" spans="2:2" x14ac:dyDescent="0.25">
      <c r="B554">
        <v>5527</v>
      </c>
    </row>
    <row r="555" spans="2:2" x14ac:dyDescent="0.25">
      <c r="B555">
        <v>5537</v>
      </c>
    </row>
    <row r="556" spans="2:2" x14ac:dyDescent="0.25">
      <c r="B556">
        <v>5547</v>
      </c>
    </row>
    <row r="557" spans="2:2" x14ac:dyDescent="0.25">
      <c r="B557">
        <v>5557</v>
      </c>
    </row>
    <row r="558" spans="2:2" x14ac:dyDescent="0.25">
      <c r="B558">
        <v>5567</v>
      </c>
    </row>
    <row r="559" spans="2:2" x14ac:dyDescent="0.25">
      <c r="B559">
        <v>5577</v>
      </c>
    </row>
    <row r="560" spans="2:2" x14ac:dyDescent="0.25">
      <c r="B560">
        <v>5587</v>
      </c>
    </row>
    <row r="561" spans="2:2" x14ac:dyDescent="0.25">
      <c r="B561">
        <v>5597</v>
      </c>
    </row>
    <row r="562" spans="2:2" x14ac:dyDescent="0.25">
      <c r="B562">
        <v>5607</v>
      </c>
    </row>
    <row r="563" spans="2:2" x14ac:dyDescent="0.25">
      <c r="B563">
        <v>5617</v>
      </c>
    </row>
    <row r="564" spans="2:2" x14ac:dyDescent="0.25">
      <c r="B564">
        <v>5627</v>
      </c>
    </row>
    <row r="565" spans="2:2" x14ac:dyDescent="0.25">
      <c r="B565">
        <v>5637</v>
      </c>
    </row>
    <row r="566" spans="2:2" x14ac:dyDescent="0.25">
      <c r="B566">
        <v>5647</v>
      </c>
    </row>
    <row r="567" spans="2:2" x14ac:dyDescent="0.25">
      <c r="B567">
        <v>5657</v>
      </c>
    </row>
    <row r="568" spans="2:2" x14ac:dyDescent="0.25">
      <c r="B568">
        <v>5667</v>
      </c>
    </row>
    <row r="569" spans="2:2" x14ac:dyDescent="0.25">
      <c r="B569">
        <v>5677</v>
      </c>
    </row>
    <row r="570" spans="2:2" x14ac:dyDescent="0.25">
      <c r="B570">
        <v>5687</v>
      </c>
    </row>
    <row r="571" spans="2:2" x14ac:dyDescent="0.25">
      <c r="B571">
        <v>5697</v>
      </c>
    </row>
    <row r="572" spans="2:2" x14ac:dyDescent="0.25">
      <c r="B572">
        <v>5707</v>
      </c>
    </row>
    <row r="573" spans="2:2" x14ac:dyDescent="0.25">
      <c r="B573">
        <v>5717</v>
      </c>
    </row>
    <row r="574" spans="2:2" x14ac:dyDescent="0.25">
      <c r="B574">
        <v>5727</v>
      </c>
    </row>
    <row r="575" spans="2:2" x14ac:dyDescent="0.25">
      <c r="B575">
        <v>5737</v>
      </c>
    </row>
    <row r="576" spans="2:2" x14ac:dyDescent="0.25">
      <c r="B576">
        <v>5747</v>
      </c>
    </row>
    <row r="577" spans="2:2" x14ac:dyDescent="0.25">
      <c r="B577">
        <v>5757</v>
      </c>
    </row>
    <row r="578" spans="2:2" x14ac:dyDescent="0.25">
      <c r="B578">
        <v>5767</v>
      </c>
    </row>
    <row r="579" spans="2:2" x14ac:dyDescent="0.25">
      <c r="B579">
        <v>5777</v>
      </c>
    </row>
    <row r="580" spans="2:2" x14ac:dyDescent="0.25">
      <c r="B580">
        <v>5787</v>
      </c>
    </row>
    <row r="581" spans="2:2" x14ac:dyDescent="0.25">
      <c r="B581">
        <v>5797</v>
      </c>
    </row>
    <row r="582" spans="2:2" x14ac:dyDescent="0.25">
      <c r="B582">
        <v>5807</v>
      </c>
    </row>
    <row r="583" spans="2:2" x14ac:dyDescent="0.25">
      <c r="B583">
        <v>5817</v>
      </c>
    </row>
    <row r="584" spans="2:2" x14ac:dyDescent="0.25">
      <c r="B584">
        <v>5827</v>
      </c>
    </row>
    <row r="585" spans="2:2" x14ac:dyDescent="0.25">
      <c r="B585">
        <v>5837</v>
      </c>
    </row>
    <row r="586" spans="2:2" x14ac:dyDescent="0.25">
      <c r="B586">
        <v>5847</v>
      </c>
    </row>
    <row r="587" spans="2:2" x14ac:dyDescent="0.25">
      <c r="B587">
        <v>5857</v>
      </c>
    </row>
    <row r="588" spans="2:2" x14ac:dyDescent="0.25">
      <c r="B588">
        <v>5867</v>
      </c>
    </row>
    <row r="589" spans="2:2" x14ac:dyDescent="0.25">
      <c r="B589">
        <v>5877</v>
      </c>
    </row>
    <row r="590" spans="2:2" x14ac:dyDescent="0.25">
      <c r="B590">
        <v>5887</v>
      </c>
    </row>
    <row r="591" spans="2:2" x14ac:dyDescent="0.25">
      <c r="B591">
        <v>5897</v>
      </c>
    </row>
    <row r="592" spans="2:2" x14ac:dyDescent="0.25">
      <c r="B592">
        <v>5907</v>
      </c>
    </row>
    <row r="593" spans="2:2" x14ac:dyDescent="0.25">
      <c r="B593">
        <v>5917</v>
      </c>
    </row>
    <row r="594" spans="2:2" x14ac:dyDescent="0.25">
      <c r="B594">
        <v>5927</v>
      </c>
    </row>
    <row r="595" spans="2:2" x14ac:dyDescent="0.25">
      <c r="B595">
        <v>5937</v>
      </c>
    </row>
    <row r="596" spans="2:2" x14ac:dyDescent="0.25">
      <c r="B596">
        <v>5947</v>
      </c>
    </row>
    <row r="597" spans="2:2" x14ac:dyDescent="0.25">
      <c r="B597">
        <v>5957</v>
      </c>
    </row>
    <row r="598" spans="2:2" x14ac:dyDescent="0.25">
      <c r="B598">
        <v>5967</v>
      </c>
    </row>
    <row r="599" spans="2:2" x14ac:dyDescent="0.25">
      <c r="B599">
        <v>5977</v>
      </c>
    </row>
    <row r="600" spans="2:2" x14ac:dyDescent="0.25">
      <c r="B600">
        <v>5987</v>
      </c>
    </row>
    <row r="601" spans="2:2" x14ac:dyDescent="0.25">
      <c r="B601">
        <v>5997</v>
      </c>
    </row>
    <row r="602" spans="2:2" x14ac:dyDescent="0.25">
      <c r="B602">
        <v>6007</v>
      </c>
    </row>
    <row r="603" spans="2:2" x14ac:dyDescent="0.25">
      <c r="B603">
        <v>6017</v>
      </c>
    </row>
    <row r="604" spans="2:2" x14ac:dyDescent="0.25">
      <c r="B604">
        <v>6027</v>
      </c>
    </row>
    <row r="605" spans="2:2" x14ac:dyDescent="0.25">
      <c r="B605">
        <v>6037</v>
      </c>
    </row>
    <row r="606" spans="2:2" x14ac:dyDescent="0.25">
      <c r="B606">
        <v>6047</v>
      </c>
    </row>
    <row r="607" spans="2:2" x14ac:dyDescent="0.25">
      <c r="B607">
        <v>6057</v>
      </c>
    </row>
    <row r="608" spans="2:2" x14ac:dyDescent="0.25">
      <c r="B608">
        <v>6067</v>
      </c>
    </row>
    <row r="609" spans="2:2" x14ac:dyDescent="0.25">
      <c r="B609">
        <v>6077</v>
      </c>
    </row>
    <row r="610" spans="2:2" x14ac:dyDescent="0.25">
      <c r="B610">
        <v>6087</v>
      </c>
    </row>
    <row r="611" spans="2:2" x14ac:dyDescent="0.25">
      <c r="B611">
        <v>6097</v>
      </c>
    </row>
    <row r="612" spans="2:2" x14ac:dyDescent="0.25">
      <c r="B612">
        <v>6107</v>
      </c>
    </row>
    <row r="613" spans="2:2" x14ac:dyDescent="0.25">
      <c r="B613">
        <v>6117</v>
      </c>
    </row>
    <row r="614" spans="2:2" x14ac:dyDescent="0.25">
      <c r="B614">
        <v>6127</v>
      </c>
    </row>
    <row r="615" spans="2:2" x14ac:dyDescent="0.25">
      <c r="B615">
        <v>6137</v>
      </c>
    </row>
    <row r="616" spans="2:2" x14ac:dyDescent="0.25">
      <c r="B616">
        <v>6147</v>
      </c>
    </row>
    <row r="617" spans="2:2" x14ac:dyDescent="0.25">
      <c r="B617">
        <v>6157</v>
      </c>
    </row>
    <row r="618" spans="2:2" x14ac:dyDescent="0.25">
      <c r="B618">
        <v>6167</v>
      </c>
    </row>
    <row r="619" spans="2:2" x14ac:dyDescent="0.25">
      <c r="B619">
        <v>6177</v>
      </c>
    </row>
    <row r="620" spans="2:2" x14ac:dyDescent="0.25">
      <c r="B620">
        <v>6187</v>
      </c>
    </row>
    <row r="621" spans="2:2" x14ac:dyDescent="0.25">
      <c r="B621">
        <v>6197</v>
      </c>
    </row>
    <row r="622" spans="2:2" x14ac:dyDescent="0.25">
      <c r="B622">
        <v>6207</v>
      </c>
    </row>
    <row r="623" spans="2:2" x14ac:dyDescent="0.25">
      <c r="B623">
        <v>6217</v>
      </c>
    </row>
    <row r="624" spans="2:2" x14ac:dyDescent="0.25">
      <c r="B624">
        <v>6227</v>
      </c>
    </row>
    <row r="625" spans="2:2" x14ac:dyDescent="0.25">
      <c r="B625">
        <v>6237</v>
      </c>
    </row>
    <row r="626" spans="2:2" x14ac:dyDescent="0.25">
      <c r="B626">
        <v>6247</v>
      </c>
    </row>
    <row r="627" spans="2:2" x14ac:dyDescent="0.25">
      <c r="B627">
        <v>6257</v>
      </c>
    </row>
    <row r="628" spans="2:2" x14ac:dyDescent="0.25">
      <c r="B628">
        <v>6267</v>
      </c>
    </row>
    <row r="629" spans="2:2" x14ac:dyDescent="0.25">
      <c r="B629">
        <v>6277</v>
      </c>
    </row>
    <row r="630" spans="2:2" x14ac:dyDescent="0.25">
      <c r="B630">
        <v>6287</v>
      </c>
    </row>
    <row r="631" spans="2:2" x14ac:dyDescent="0.25">
      <c r="B631">
        <v>6297</v>
      </c>
    </row>
    <row r="632" spans="2:2" x14ac:dyDescent="0.25">
      <c r="B632">
        <v>6307</v>
      </c>
    </row>
    <row r="633" spans="2:2" x14ac:dyDescent="0.25">
      <c r="B633">
        <v>6317</v>
      </c>
    </row>
    <row r="634" spans="2:2" x14ac:dyDescent="0.25">
      <c r="B634">
        <v>6327</v>
      </c>
    </row>
    <row r="635" spans="2:2" x14ac:dyDescent="0.25">
      <c r="B635">
        <v>6337</v>
      </c>
    </row>
    <row r="636" spans="2:2" x14ac:dyDescent="0.25">
      <c r="B636">
        <v>6347</v>
      </c>
    </row>
    <row r="637" spans="2:2" x14ac:dyDescent="0.25">
      <c r="B637">
        <v>6357</v>
      </c>
    </row>
    <row r="638" spans="2:2" x14ac:dyDescent="0.25">
      <c r="B638">
        <v>6367</v>
      </c>
    </row>
    <row r="639" spans="2:2" x14ac:dyDescent="0.25">
      <c r="B639">
        <v>6377</v>
      </c>
    </row>
    <row r="640" spans="2:2" x14ac:dyDescent="0.25">
      <c r="B640">
        <v>6387</v>
      </c>
    </row>
    <row r="641" spans="2:2" x14ac:dyDescent="0.25">
      <c r="B641">
        <v>6397</v>
      </c>
    </row>
    <row r="642" spans="2:2" x14ac:dyDescent="0.25">
      <c r="B642">
        <v>6407</v>
      </c>
    </row>
    <row r="643" spans="2:2" x14ac:dyDescent="0.25">
      <c r="B643">
        <v>6417</v>
      </c>
    </row>
    <row r="644" spans="2:2" x14ac:dyDescent="0.25">
      <c r="B644">
        <v>6427</v>
      </c>
    </row>
    <row r="645" spans="2:2" x14ac:dyDescent="0.25">
      <c r="B645">
        <v>6437</v>
      </c>
    </row>
    <row r="646" spans="2:2" x14ac:dyDescent="0.25">
      <c r="B646">
        <v>6447</v>
      </c>
    </row>
    <row r="647" spans="2:2" x14ac:dyDescent="0.25">
      <c r="B647">
        <v>6457</v>
      </c>
    </row>
    <row r="648" spans="2:2" x14ac:dyDescent="0.25">
      <c r="B648">
        <v>6467</v>
      </c>
    </row>
    <row r="649" spans="2:2" x14ac:dyDescent="0.25">
      <c r="B649">
        <v>6477</v>
      </c>
    </row>
    <row r="650" spans="2:2" x14ac:dyDescent="0.25">
      <c r="B650">
        <v>6487</v>
      </c>
    </row>
    <row r="651" spans="2:2" x14ac:dyDescent="0.25">
      <c r="B651">
        <v>6497</v>
      </c>
    </row>
    <row r="652" spans="2:2" x14ac:dyDescent="0.25">
      <c r="B652">
        <v>6507</v>
      </c>
    </row>
    <row r="653" spans="2:2" x14ac:dyDescent="0.25">
      <c r="B653">
        <v>6517</v>
      </c>
    </row>
    <row r="654" spans="2:2" x14ac:dyDescent="0.25">
      <c r="B654">
        <v>6527</v>
      </c>
    </row>
    <row r="655" spans="2:2" x14ac:dyDescent="0.25">
      <c r="B655">
        <v>6537</v>
      </c>
    </row>
    <row r="656" spans="2:2" x14ac:dyDescent="0.25">
      <c r="B656">
        <v>6547</v>
      </c>
    </row>
    <row r="657" spans="2:2" x14ac:dyDescent="0.25">
      <c r="B657">
        <v>6557</v>
      </c>
    </row>
    <row r="658" spans="2:2" x14ac:dyDescent="0.25">
      <c r="B658">
        <v>6567</v>
      </c>
    </row>
    <row r="659" spans="2:2" x14ac:dyDescent="0.25">
      <c r="B659">
        <v>6577</v>
      </c>
    </row>
    <row r="660" spans="2:2" x14ac:dyDescent="0.25">
      <c r="B660">
        <v>6587</v>
      </c>
    </row>
    <row r="661" spans="2:2" x14ac:dyDescent="0.25">
      <c r="B661">
        <v>6597</v>
      </c>
    </row>
    <row r="662" spans="2:2" x14ac:dyDescent="0.25">
      <c r="B662">
        <v>6607</v>
      </c>
    </row>
    <row r="663" spans="2:2" x14ac:dyDescent="0.25">
      <c r="B663">
        <v>6617</v>
      </c>
    </row>
    <row r="664" spans="2:2" x14ac:dyDescent="0.25">
      <c r="B664">
        <v>6627</v>
      </c>
    </row>
    <row r="665" spans="2:2" x14ac:dyDescent="0.25">
      <c r="B665">
        <v>6637</v>
      </c>
    </row>
    <row r="666" spans="2:2" x14ac:dyDescent="0.25">
      <c r="B666">
        <v>6647</v>
      </c>
    </row>
    <row r="667" spans="2:2" x14ac:dyDescent="0.25">
      <c r="B667">
        <v>6657</v>
      </c>
    </row>
    <row r="668" spans="2:2" x14ac:dyDescent="0.25">
      <c r="B668">
        <v>6667</v>
      </c>
    </row>
    <row r="669" spans="2:2" x14ac:dyDescent="0.25">
      <c r="B669">
        <v>6677</v>
      </c>
    </row>
    <row r="670" spans="2:2" x14ac:dyDescent="0.25">
      <c r="B670">
        <v>6687</v>
      </c>
    </row>
    <row r="671" spans="2:2" x14ac:dyDescent="0.25">
      <c r="B671">
        <v>6697</v>
      </c>
    </row>
    <row r="672" spans="2:2" x14ac:dyDescent="0.25">
      <c r="B672">
        <v>6707</v>
      </c>
    </row>
    <row r="673" spans="2:2" x14ac:dyDescent="0.25">
      <c r="B673">
        <v>6717</v>
      </c>
    </row>
    <row r="674" spans="2:2" x14ac:dyDescent="0.25">
      <c r="B674">
        <v>6727</v>
      </c>
    </row>
    <row r="675" spans="2:2" x14ac:dyDescent="0.25">
      <c r="B675">
        <v>6737</v>
      </c>
    </row>
    <row r="676" spans="2:2" x14ac:dyDescent="0.25">
      <c r="B676">
        <v>6747</v>
      </c>
    </row>
    <row r="677" spans="2:2" x14ac:dyDescent="0.25">
      <c r="B677">
        <v>6757</v>
      </c>
    </row>
    <row r="678" spans="2:2" x14ac:dyDescent="0.25">
      <c r="B678">
        <v>6767</v>
      </c>
    </row>
    <row r="679" spans="2:2" x14ac:dyDescent="0.25">
      <c r="B679">
        <v>6777</v>
      </c>
    </row>
    <row r="680" spans="2:2" x14ac:dyDescent="0.25">
      <c r="B680">
        <v>6787</v>
      </c>
    </row>
    <row r="681" spans="2:2" x14ac:dyDescent="0.25">
      <c r="B681">
        <v>6797</v>
      </c>
    </row>
    <row r="682" spans="2:2" x14ac:dyDescent="0.25">
      <c r="B682">
        <v>6807</v>
      </c>
    </row>
    <row r="683" spans="2:2" x14ac:dyDescent="0.25">
      <c r="B683">
        <v>6817</v>
      </c>
    </row>
    <row r="684" spans="2:2" x14ac:dyDescent="0.25">
      <c r="B684">
        <v>6827</v>
      </c>
    </row>
    <row r="685" spans="2:2" x14ac:dyDescent="0.25">
      <c r="B685">
        <v>6837</v>
      </c>
    </row>
    <row r="686" spans="2:2" x14ac:dyDescent="0.25">
      <c r="B686">
        <v>6847</v>
      </c>
    </row>
    <row r="687" spans="2:2" x14ac:dyDescent="0.25">
      <c r="B687">
        <v>6857</v>
      </c>
    </row>
    <row r="688" spans="2:2" x14ac:dyDescent="0.25">
      <c r="B688">
        <v>6867</v>
      </c>
    </row>
    <row r="689" spans="2:2" x14ac:dyDescent="0.25">
      <c r="B689">
        <v>6877</v>
      </c>
    </row>
    <row r="690" spans="2:2" x14ac:dyDescent="0.25">
      <c r="B690">
        <v>6887</v>
      </c>
    </row>
    <row r="691" spans="2:2" x14ac:dyDescent="0.25">
      <c r="B691">
        <v>6897</v>
      </c>
    </row>
    <row r="692" spans="2:2" x14ac:dyDescent="0.25">
      <c r="B692">
        <v>6907</v>
      </c>
    </row>
    <row r="693" spans="2:2" x14ac:dyDescent="0.25">
      <c r="B693">
        <v>6917</v>
      </c>
    </row>
    <row r="694" spans="2:2" x14ac:dyDescent="0.25">
      <c r="B694">
        <v>6927</v>
      </c>
    </row>
    <row r="695" spans="2:2" x14ac:dyDescent="0.25">
      <c r="B695">
        <v>6937</v>
      </c>
    </row>
    <row r="696" spans="2:2" x14ac:dyDescent="0.25">
      <c r="B696">
        <v>6947</v>
      </c>
    </row>
    <row r="697" spans="2:2" x14ac:dyDescent="0.25">
      <c r="B697">
        <v>6957</v>
      </c>
    </row>
    <row r="698" spans="2:2" x14ac:dyDescent="0.25">
      <c r="B698">
        <v>6967</v>
      </c>
    </row>
    <row r="699" spans="2:2" x14ac:dyDescent="0.25">
      <c r="B699">
        <v>6977</v>
      </c>
    </row>
    <row r="700" spans="2:2" x14ac:dyDescent="0.25">
      <c r="B700">
        <v>6987</v>
      </c>
    </row>
    <row r="701" spans="2:2" x14ac:dyDescent="0.25">
      <c r="B701">
        <v>6997</v>
      </c>
    </row>
    <row r="702" spans="2:2" x14ac:dyDescent="0.25">
      <c r="B702">
        <v>7007</v>
      </c>
    </row>
    <row r="703" spans="2:2" x14ac:dyDescent="0.25">
      <c r="B703">
        <v>7017</v>
      </c>
    </row>
    <row r="704" spans="2:2" x14ac:dyDescent="0.25">
      <c r="B704">
        <v>7027</v>
      </c>
    </row>
    <row r="705" spans="2:2" x14ac:dyDescent="0.25">
      <c r="B705">
        <v>7037</v>
      </c>
    </row>
    <row r="706" spans="2:2" x14ac:dyDescent="0.25">
      <c r="B706">
        <v>7047</v>
      </c>
    </row>
    <row r="707" spans="2:2" x14ac:dyDescent="0.25">
      <c r="B707">
        <v>7057</v>
      </c>
    </row>
    <row r="708" spans="2:2" x14ac:dyDescent="0.25">
      <c r="B708">
        <v>7067</v>
      </c>
    </row>
    <row r="709" spans="2:2" x14ac:dyDescent="0.25">
      <c r="B709">
        <v>7077</v>
      </c>
    </row>
    <row r="710" spans="2:2" x14ac:dyDescent="0.25">
      <c r="B710">
        <v>7087</v>
      </c>
    </row>
    <row r="711" spans="2:2" x14ac:dyDescent="0.25">
      <c r="B711">
        <v>7097</v>
      </c>
    </row>
    <row r="712" spans="2:2" x14ac:dyDescent="0.25">
      <c r="B712">
        <v>7107</v>
      </c>
    </row>
    <row r="713" spans="2:2" x14ac:dyDescent="0.25">
      <c r="B713">
        <v>7117</v>
      </c>
    </row>
    <row r="714" spans="2:2" x14ac:dyDescent="0.25">
      <c r="B714">
        <v>7127</v>
      </c>
    </row>
    <row r="715" spans="2:2" x14ac:dyDescent="0.25">
      <c r="B715">
        <v>7137</v>
      </c>
    </row>
    <row r="716" spans="2:2" x14ac:dyDescent="0.25">
      <c r="B716">
        <v>7147</v>
      </c>
    </row>
    <row r="717" spans="2:2" x14ac:dyDescent="0.25">
      <c r="B717">
        <v>7157</v>
      </c>
    </row>
    <row r="718" spans="2:2" x14ac:dyDescent="0.25">
      <c r="B718">
        <v>7167</v>
      </c>
    </row>
    <row r="719" spans="2:2" x14ac:dyDescent="0.25">
      <c r="B719">
        <v>7177</v>
      </c>
    </row>
    <row r="720" spans="2:2" x14ac:dyDescent="0.25">
      <c r="B720">
        <v>7187</v>
      </c>
    </row>
    <row r="721" spans="2:2" x14ac:dyDescent="0.25">
      <c r="B721">
        <v>7197</v>
      </c>
    </row>
    <row r="722" spans="2:2" x14ac:dyDescent="0.25">
      <c r="B722">
        <v>7207</v>
      </c>
    </row>
    <row r="723" spans="2:2" x14ac:dyDescent="0.25">
      <c r="B723">
        <v>7217</v>
      </c>
    </row>
    <row r="724" spans="2:2" x14ac:dyDescent="0.25">
      <c r="B724">
        <v>7227</v>
      </c>
    </row>
    <row r="725" spans="2:2" x14ac:dyDescent="0.25">
      <c r="B725">
        <v>7237</v>
      </c>
    </row>
    <row r="726" spans="2:2" x14ac:dyDescent="0.25">
      <c r="B726">
        <v>7247</v>
      </c>
    </row>
    <row r="727" spans="2:2" x14ac:dyDescent="0.25">
      <c r="B727">
        <v>7257</v>
      </c>
    </row>
    <row r="728" spans="2:2" x14ac:dyDescent="0.25">
      <c r="B728">
        <v>7267</v>
      </c>
    </row>
    <row r="729" spans="2:2" x14ac:dyDescent="0.25">
      <c r="B729">
        <v>7277</v>
      </c>
    </row>
    <row r="730" spans="2:2" x14ac:dyDescent="0.25">
      <c r="B730">
        <v>7287</v>
      </c>
    </row>
    <row r="731" spans="2:2" x14ac:dyDescent="0.25">
      <c r="B731">
        <v>7297</v>
      </c>
    </row>
    <row r="732" spans="2:2" x14ac:dyDescent="0.25">
      <c r="B732">
        <v>7307</v>
      </c>
    </row>
    <row r="733" spans="2:2" x14ac:dyDescent="0.25">
      <c r="B733">
        <v>7317</v>
      </c>
    </row>
    <row r="734" spans="2:2" x14ac:dyDescent="0.25">
      <c r="B734">
        <v>7327</v>
      </c>
    </row>
    <row r="735" spans="2:2" x14ac:dyDescent="0.25">
      <c r="B735">
        <v>7337</v>
      </c>
    </row>
    <row r="736" spans="2:2" x14ac:dyDescent="0.25">
      <c r="B736">
        <v>7347</v>
      </c>
    </row>
    <row r="737" spans="2:2" x14ac:dyDescent="0.25">
      <c r="B737">
        <v>7357</v>
      </c>
    </row>
    <row r="738" spans="2:2" x14ac:dyDescent="0.25">
      <c r="B738">
        <v>7367</v>
      </c>
    </row>
    <row r="739" spans="2:2" x14ac:dyDescent="0.25">
      <c r="B739">
        <v>7377</v>
      </c>
    </row>
    <row r="740" spans="2:2" x14ac:dyDescent="0.25">
      <c r="B740">
        <v>7387</v>
      </c>
    </row>
    <row r="741" spans="2:2" x14ac:dyDescent="0.25">
      <c r="B741">
        <v>7397</v>
      </c>
    </row>
    <row r="742" spans="2:2" x14ac:dyDescent="0.25">
      <c r="B742">
        <v>7407</v>
      </c>
    </row>
    <row r="743" spans="2:2" x14ac:dyDescent="0.25">
      <c r="B743">
        <v>7417</v>
      </c>
    </row>
    <row r="744" spans="2:2" x14ac:dyDescent="0.25">
      <c r="B744">
        <v>7427</v>
      </c>
    </row>
    <row r="745" spans="2:2" x14ac:dyDescent="0.25">
      <c r="B745">
        <v>7437</v>
      </c>
    </row>
    <row r="746" spans="2:2" x14ac:dyDescent="0.25">
      <c r="B746">
        <v>7447</v>
      </c>
    </row>
    <row r="747" spans="2:2" x14ac:dyDescent="0.25">
      <c r="B747">
        <v>7457</v>
      </c>
    </row>
    <row r="748" spans="2:2" x14ac:dyDescent="0.25">
      <c r="B748">
        <v>7467</v>
      </c>
    </row>
    <row r="749" spans="2:2" x14ac:dyDescent="0.25">
      <c r="B749">
        <v>7477</v>
      </c>
    </row>
    <row r="750" spans="2:2" x14ac:dyDescent="0.25">
      <c r="B750">
        <v>7487</v>
      </c>
    </row>
    <row r="751" spans="2:2" x14ac:dyDescent="0.25">
      <c r="B751">
        <v>7497</v>
      </c>
    </row>
    <row r="752" spans="2:2" x14ac:dyDescent="0.25">
      <c r="B752">
        <v>7507</v>
      </c>
    </row>
    <row r="753" spans="2:2" x14ac:dyDescent="0.25">
      <c r="B753">
        <v>7517</v>
      </c>
    </row>
    <row r="754" spans="2:2" x14ac:dyDescent="0.25">
      <c r="B754">
        <v>7527</v>
      </c>
    </row>
    <row r="755" spans="2:2" x14ac:dyDescent="0.25">
      <c r="B755">
        <v>7537</v>
      </c>
    </row>
    <row r="756" spans="2:2" x14ac:dyDescent="0.25">
      <c r="B756">
        <v>7547</v>
      </c>
    </row>
    <row r="757" spans="2:2" x14ac:dyDescent="0.25">
      <c r="B757">
        <v>7557</v>
      </c>
    </row>
    <row r="758" spans="2:2" x14ac:dyDescent="0.25">
      <c r="B758">
        <v>7567</v>
      </c>
    </row>
    <row r="759" spans="2:2" x14ac:dyDescent="0.25">
      <c r="B759">
        <v>7577</v>
      </c>
    </row>
    <row r="760" spans="2:2" x14ac:dyDescent="0.25">
      <c r="B760">
        <v>7587</v>
      </c>
    </row>
    <row r="761" spans="2:2" x14ac:dyDescent="0.25">
      <c r="B761">
        <v>7597</v>
      </c>
    </row>
    <row r="762" spans="2:2" x14ac:dyDescent="0.25">
      <c r="B762">
        <v>7607</v>
      </c>
    </row>
    <row r="763" spans="2:2" x14ac:dyDescent="0.25">
      <c r="B763">
        <v>7617</v>
      </c>
    </row>
    <row r="764" spans="2:2" x14ac:dyDescent="0.25">
      <c r="B764">
        <v>7627</v>
      </c>
    </row>
    <row r="765" spans="2:2" x14ac:dyDescent="0.25">
      <c r="B765">
        <v>7637</v>
      </c>
    </row>
    <row r="766" spans="2:2" x14ac:dyDescent="0.25">
      <c r="B766">
        <v>7647</v>
      </c>
    </row>
    <row r="767" spans="2:2" x14ac:dyDescent="0.25">
      <c r="B767">
        <v>7657</v>
      </c>
    </row>
    <row r="768" spans="2:2" x14ac:dyDescent="0.25">
      <c r="B768">
        <v>7667</v>
      </c>
    </row>
    <row r="769" spans="2:2" x14ac:dyDescent="0.25">
      <c r="B769">
        <v>7677</v>
      </c>
    </row>
    <row r="770" spans="2:2" x14ac:dyDescent="0.25">
      <c r="B770">
        <v>7687</v>
      </c>
    </row>
    <row r="771" spans="2:2" x14ac:dyDescent="0.25">
      <c r="B771">
        <v>7697</v>
      </c>
    </row>
    <row r="772" spans="2:2" x14ac:dyDescent="0.25">
      <c r="B772">
        <v>7707</v>
      </c>
    </row>
    <row r="773" spans="2:2" x14ac:dyDescent="0.25">
      <c r="B773">
        <v>7717</v>
      </c>
    </row>
    <row r="774" spans="2:2" x14ac:dyDescent="0.25">
      <c r="B774">
        <v>7727</v>
      </c>
    </row>
    <row r="775" spans="2:2" x14ac:dyDescent="0.25">
      <c r="B775">
        <v>7737</v>
      </c>
    </row>
    <row r="776" spans="2:2" x14ac:dyDescent="0.25">
      <c r="B776">
        <v>7747</v>
      </c>
    </row>
    <row r="777" spans="2:2" x14ac:dyDescent="0.25">
      <c r="B777">
        <v>7757</v>
      </c>
    </row>
    <row r="778" spans="2:2" x14ac:dyDescent="0.25">
      <c r="B778">
        <v>7767</v>
      </c>
    </row>
    <row r="779" spans="2:2" x14ac:dyDescent="0.25">
      <c r="B779">
        <v>7777</v>
      </c>
    </row>
    <row r="780" spans="2:2" x14ac:dyDescent="0.25">
      <c r="B780">
        <v>7787</v>
      </c>
    </row>
    <row r="781" spans="2:2" x14ac:dyDescent="0.25">
      <c r="B781">
        <v>7797</v>
      </c>
    </row>
    <row r="782" spans="2:2" x14ac:dyDescent="0.25">
      <c r="B782">
        <v>7807</v>
      </c>
    </row>
    <row r="783" spans="2:2" x14ac:dyDescent="0.25">
      <c r="B783">
        <v>7817</v>
      </c>
    </row>
    <row r="784" spans="2:2" x14ac:dyDescent="0.25">
      <c r="B784">
        <v>7827</v>
      </c>
    </row>
    <row r="785" spans="2:2" x14ac:dyDescent="0.25">
      <c r="B785">
        <v>7837</v>
      </c>
    </row>
    <row r="786" spans="2:2" x14ac:dyDescent="0.25">
      <c r="B786">
        <v>7847</v>
      </c>
    </row>
    <row r="787" spans="2:2" x14ac:dyDescent="0.25">
      <c r="B787">
        <v>7857</v>
      </c>
    </row>
    <row r="788" spans="2:2" x14ac:dyDescent="0.25">
      <c r="B788">
        <v>7867</v>
      </c>
    </row>
    <row r="789" spans="2:2" x14ac:dyDescent="0.25">
      <c r="B789">
        <v>7877</v>
      </c>
    </row>
    <row r="790" spans="2:2" x14ac:dyDescent="0.25">
      <c r="B790">
        <v>7887</v>
      </c>
    </row>
    <row r="791" spans="2:2" x14ac:dyDescent="0.25">
      <c r="B791">
        <v>7897</v>
      </c>
    </row>
    <row r="792" spans="2:2" x14ac:dyDescent="0.25">
      <c r="B792">
        <v>7907</v>
      </c>
    </row>
    <row r="793" spans="2:2" x14ac:dyDescent="0.25">
      <c r="B793">
        <v>7917</v>
      </c>
    </row>
    <row r="794" spans="2:2" x14ac:dyDescent="0.25">
      <c r="B794">
        <v>7927</v>
      </c>
    </row>
    <row r="795" spans="2:2" x14ac:dyDescent="0.25">
      <c r="B795">
        <v>7937</v>
      </c>
    </row>
    <row r="796" spans="2:2" x14ac:dyDescent="0.25">
      <c r="B796">
        <v>7947</v>
      </c>
    </row>
    <row r="797" spans="2:2" x14ac:dyDescent="0.25">
      <c r="B797">
        <v>7957</v>
      </c>
    </row>
    <row r="798" spans="2:2" x14ac:dyDescent="0.25">
      <c r="B798">
        <v>7967</v>
      </c>
    </row>
    <row r="799" spans="2:2" x14ac:dyDescent="0.25">
      <c r="B799">
        <v>7977</v>
      </c>
    </row>
    <row r="800" spans="2:2" x14ac:dyDescent="0.25">
      <c r="B800">
        <v>7987</v>
      </c>
    </row>
    <row r="801" spans="2:2" x14ac:dyDescent="0.25">
      <c r="B801">
        <v>7997</v>
      </c>
    </row>
    <row r="802" spans="2:2" x14ac:dyDescent="0.25">
      <c r="B802">
        <v>8007</v>
      </c>
    </row>
    <row r="803" spans="2:2" x14ac:dyDescent="0.25">
      <c r="B803">
        <v>8017</v>
      </c>
    </row>
    <row r="804" spans="2:2" x14ac:dyDescent="0.25">
      <c r="B804">
        <v>8027</v>
      </c>
    </row>
    <row r="805" spans="2:2" x14ac:dyDescent="0.25">
      <c r="B805">
        <v>8037</v>
      </c>
    </row>
    <row r="806" spans="2:2" x14ac:dyDescent="0.25">
      <c r="B806">
        <v>8047</v>
      </c>
    </row>
    <row r="807" spans="2:2" x14ac:dyDescent="0.25">
      <c r="B807">
        <v>8057</v>
      </c>
    </row>
    <row r="808" spans="2:2" x14ac:dyDescent="0.25">
      <c r="B808">
        <v>8067</v>
      </c>
    </row>
    <row r="809" spans="2:2" x14ac:dyDescent="0.25">
      <c r="B809">
        <v>8077</v>
      </c>
    </row>
    <row r="810" spans="2:2" x14ac:dyDescent="0.25">
      <c r="B810">
        <v>8087</v>
      </c>
    </row>
    <row r="811" spans="2:2" x14ac:dyDescent="0.25">
      <c r="B811">
        <v>8097</v>
      </c>
    </row>
    <row r="812" spans="2:2" x14ac:dyDescent="0.25">
      <c r="B812">
        <v>8107</v>
      </c>
    </row>
    <row r="813" spans="2:2" x14ac:dyDescent="0.25">
      <c r="B813">
        <v>8117</v>
      </c>
    </row>
    <row r="814" spans="2:2" x14ac:dyDescent="0.25">
      <c r="B814">
        <v>8127</v>
      </c>
    </row>
    <row r="815" spans="2:2" x14ac:dyDescent="0.25">
      <c r="B815">
        <v>8137</v>
      </c>
    </row>
    <row r="816" spans="2:2" x14ac:dyDescent="0.25">
      <c r="B816">
        <v>8147</v>
      </c>
    </row>
    <row r="817" spans="2:2" x14ac:dyDescent="0.25">
      <c r="B817">
        <v>8157</v>
      </c>
    </row>
    <row r="818" spans="2:2" x14ac:dyDescent="0.25">
      <c r="B818">
        <v>8167</v>
      </c>
    </row>
    <row r="819" spans="2:2" x14ac:dyDescent="0.25">
      <c r="B819">
        <v>8177</v>
      </c>
    </row>
    <row r="820" spans="2:2" x14ac:dyDescent="0.25">
      <c r="B820">
        <v>8187</v>
      </c>
    </row>
    <row r="821" spans="2:2" x14ac:dyDescent="0.25">
      <c r="B821">
        <v>8197</v>
      </c>
    </row>
    <row r="822" spans="2:2" x14ac:dyDescent="0.25">
      <c r="B822">
        <v>8207</v>
      </c>
    </row>
    <row r="823" spans="2:2" x14ac:dyDescent="0.25">
      <c r="B823">
        <v>8217</v>
      </c>
    </row>
    <row r="824" spans="2:2" x14ac:dyDescent="0.25">
      <c r="B824">
        <v>8227</v>
      </c>
    </row>
    <row r="825" spans="2:2" x14ac:dyDescent="0.25">
      <c r="B825">
        <v>8237</v>
      </c>
    </row>
    <row r="826" spans="2:2" x14ac:dyDescent="0.25">
      <c r="B826">
        <v>8247</v>
      </c>
    </row>
    <row r="827" spans="2:2" x14ac:dyDescent="0.25">
      <c r="B827">
        <v>8257</v>
      </c>
    </row>
    <row r="828" spans="2:2" x14ac:dyDescent="0.25">
      <c r="B828">
        <v>8267</v>
      </c>
    </row>
    <row r="829" spans="2:2" x14ac:dyDescent="0.25">
      <c r="B829">
        <v>8277</v>
      </c>
    </row>
    <row r="830" spans="2:2" x14ac:dyDescent="0.25">
      <c r="B830">
        <v>8287</v>
      </c>
    </row>
    <row r="831" spans="2:2" x14ac:dyDescent="0.25">
      <c r="B831">
        <v>8297</v>
      </c>
    </row>
    <row r="832" spans="2:2" x14ac:dyDescent="0.25">
      <c r="B832">
        <v>8307</v>
      </c>
    </row>
    <row r="833" spans="2:2" x14ac:dyDescent="0.25">
      <c r="B833">
        <v>8317</v>
      </c>
    </row>
    <row r="834" spans="2:2" x14ac:dyDescent="0.25">
      <c r="B834">
        <v>8327</v>
      </c>
    </row>
    <row r="835" spans="2:2" x14ac:dyDescent="0.25">
      <c r="B835">
        <v>8337</v>
      </c>
    </row>
    <row r="836" spans="2:2" x14ac:dyDescent="0.25">
      <c r="B836">
        <v>8347</v>
      </c>
    </row>
    <row r="837" spans="2:2" x14ac:dyDescent="0.25">
      <c r="B837">
        <v>8357</v>
      </c>
    </row>
    <row r="838" spans="2:2" x14ac:dyDescent="0.25">
      <c r="B838">
        <v>8367</v>
      </c>
    </row>
    <row r="839" spans="2:2" x14ac:dyDescent="0.25">
      <c r="B839">
        <v>8377</v>
      </c>
    </row>
    <row r="840" spans="2:2" x14ac:dyDescent="0.25">
      <c r="B840">
        <v>8387</v>
      </c>
    </row>
    <row r="841" spans="2:2" x14ac:dyDescent="0.25">
      <c r="B841">
        <v>8397</v>
      </c>
    </row>
    <row r="842" spans="2:2" x14ac:dyDescent="0.25">
      <c r="B842">
        <v>8407</v>
      </c>
    </row>
    <row r="843" spans="2:2" x14ac:dyDescent="0.25">
      <c r="B843">
        <v>8417</v>
      </c>
    </row>
    <row r="844" spans="2:2" x14ac:dyDescent="0.25">
      <c r="B844">
        <v>8427</v>
      </c>
    </row>
    <row r="845" spans="2:2" x14ac:dyDescent="0.25">
      <c r="B845">
        <v>8437</v>
      </c>
    </row>
    <row r="846" spans="2:2" x14ac:dyDescent="0.25">
      <c r="B846">
        <v>8447</v>
      </c>
    </row>
    <row r="847" spans="2:2" x14ac:dyDescent="0.25">
      <c r="B847">
        <v>8457</v>
      </c>
    </row>
    <row r="848" spans="2:2" x14ac:dyDescent="0.25">
      <c r="B848">
        <v>8467</v>
      </c>
    </row>
    <row r="849" spans="2:2" x14ac:dyDescent="0.25">
      <c r="B849">
        <v>8477</v>
      </c>
    </row>
    <row r="850" spans="2:2" x14ac:dyDescent="0.25">
      <c r="B850">
        <v>8487</v>
      </c>
    </row>
    <row r="851" spans="2:2" x14ac:dyDescent="0.25">
      <c r="B851">
        <v>8497</v>
      </c>
    </row>
    <row r="852" spans="2:2" x14ac:dyDescent="0.25">
      <c r="B852">
        <v>8507</v>
      </c>
    </row>
    <row r="853" spans="2:2" x14ac:dyDescent="0.25">
      <c r="B853">
        <v>8517</v>
      </c>
    </row>
    <row r="854" spans="2:2" x14ac:dyDescent="0.25">
      <c r="B854">
        <v>8527</v>
      </c>
    </row>
    <row r="855" spans="2:2" x14ac:dyDescent="0.25">
      <c r="B855">
        <v>8537</v>
      </c>
    </row>
    <row r="856" spans="2:2" x14ac:dyDescent="0.25">
      <c r="B856">
        <v>8547</v>
      </c>
    </row>
    <row r="857" spans="2:2" x14ac:dyDescent="0.25">
      <c r="B857">
        <v>8557</v>
      </c>
    </row>
    <row r="858" spans="2:2" x14ac:dyDescent="0.25">
      <c r="B858">
        <v>8567</v>
      </c>
    </row>
    <row r="859" spans="2:2" x14ac:dyDescent="0.25">
      <c r="B859">
        <v>8577</v>
      </c>
    </row>
    <row r="860" spans="2:2" x14ac:dyDescent="0.25">
      <c r="B860">
        <v>8587</v>
      </c>
    </row>
    <row r="861" spans="2:2" x14ac:dyDescent="0.25">
      <c r="B861">
        <v>8597</v>
      </c>
    </row>
    <row r="862" spans="2:2" x14ac:dyDescent="0.25">
      <c r="B862">
        <v>8607</v>
      </c>
    </row>
    <row r="863" spans="2:2" x14ac:dyDescent="0.25">
      <c r="B863">
        <v>8617</v>
      </c>
    </row>
    <row r="864" spans="2:2" x14ac:dyDescent="0.25">
      <c r="B864">
        <v>8627</v>
      </c>
    </row>
    <row r="865" spans="2:2" x14ac:dyDescent="0.25">
      <c r="B865">
        <v>8637</v>
      </c>
    </row>
    <row r="866" spans="2:2" x14ac:dyDescent="0.25">
      <c r="B866">
        <v>8647</v>
      </c>
    </row>
    <row r="867" spans="2:2" x14ac:dyDescent="0.25">
      <c r="B867">
        <v>8657</v>
      </c>
    </row>
    <row r="868" spans="2:2" x14ac:dyDescent="0.25">
      <c r="B868">
        <v>8667</v>
      </c>
    </row>
    <row r="869" spans="2:2" x14ac:dyDescent="0.25">
      <c r="B869">
        <v>8677</v>
      </c>
    </row>
    <row r="870" spans="2:2" x14ac:dyDescent="0.25">
      <c r="B870">
        <v>8687</v>
      </c>
    </row>
    <row r="871" spans="2:2" x14ac:dyDescent="0.25">
      <c r="B871">
        <v>8697</v>
      </c>
    </row>
    <row r="872" spans="2:2" x14ac:dyDescent="0.25">
      <c r="B872">
        <v>8707</v>
      </c>
    </row>
    <row r="873" spans="2:2" x14ac:dyDescent="0.25">
      <c r="B873">
        <v>8717</v>
      </c>
    </row>
    <row r="874" spans="2:2" x14ac:dyDescent="0.25">
      <c r="B874">
        <v>8727</v>
      </c>
    </row>
    <row r="875" spans="2:2" x14ac:dyDescent="0.25">
      <c r="B875">
        <v>8737</v>
      </c>
    </row>
    <row r="876" spans="2:2" x14ac:dyDescent="0.25">
      <c r="B876">
        <v>8747</v>
      </c>
    </row>
    <row r="877" spans="2:2" x14ac:dyDescent="0.25">
      <c r="B877">
        <v>8757</v>
      </c>
    </row>
    <row r="878" spans="2:2" x14ac:dyDescent="0.25">
      <c r="B878">
        <v>8767</v>
      </c>
    </row>
    <row r="879" spans="2:2" x14ac:dyDescent="0.25">
      <c r="B879">
        <v>8777</v>
      </c>
    </row>
    <row r="880" spans="2:2" x14ac:dyDescent="0.25">
      <c r="B880">
        <v>8787</v>
      </c>
    </row>
    <row r="881" spans="2:2" x14ac:dyDescent="0.25">
      <c r="B881">
        <v>8797</v>
      </c>
    </row>
    <row r="882" spans="2:2" x14ac:dyDescent="0.25">
      <c r="B882">
        <v>8807</v>
      </c>
    </row>
    <row r="883" spans="2:2" x14ac:dyDescent="0.25">
      <c r="B883">
        <v>8817</v>
      </c>
    </row>
    <row r="884" spans="2:2" x14ac:dyDescent="0.25">
      <c r="B884">
        <v>8827</v>
      </c>
    </row>
    <row r="885" spans="2:2" x14ac:dyDescent="0.25">
      <c r="B885">
        <v>8837</v>
      </c>
    </row>
    <row r="886" spans="2:2" x14ac:dyDescent="0.25">
      <c r="B886">
        <v>8847</v>
      </c>
    </row>
    <row r="887" spans="2:2" x14ac:dyDescent="0.25">
      <c r="B887">
        <v>8857</v>
      </c>
    </row>
    <row r="888" spans="2:2" x14ac:dyDescent="0.25">
      <c r="B888">
        <v>8867</v>
      </c>
    </row>
    <row r="889" spans="2:2" x14ac:dyDescent="0.25">
      <c r="B889">
        <v>8877</v>
      </c>
    </row>
    <row r="890" spans="2:2" x14ac:dyDescent="0.25">
      <c r="B890">
        <v>8887</v>
      </c>
    </row>
    <row r="891" spans="2:2" x14ac:dyDescent="0.25">
      <c r="B891">
        <v>8897</v>
      </c>
    </row>
    <row r="892" spans="2:2" x14ac:dyDescent="0.25">
      <c r="B892">
        <v>8907</v>
      </c>
    </row>
    <row r="893" spans="2:2" x14ac:dyDescent="0.25">
      <c r="B893">
        <v>8917</v>
      </c>
    </row>
    <row r="894" spans="2:2" x14ac:dyDescent="0.25">
      <c r="B894">
        <v>8927</v>
      </c>
    </row>
    <row r="895" spans="2:2" x14ac:dyDescent="0.25">
      <c r="B895">
        <v>8937</v>
      </c>
    </row>
    <row r="896" spans="2:2" x14ac:dyDescent="0.25">
      <c r="B896">
        <v>8947</v>
      </c>
    </row>
    <row r="897" spans="2:2" x14ac:dyDescent="0.25">
      <c r="B897">
        <v>8957</v>
      </c>
    </row>
    <row r="898" spans="2:2" x14ac:dyDescent="0.25">
      <c r="B898">
        <v>8967</v>
      </c>
    </row>
    <row r="899" spans="2:2" x14ac:dyDescent="0.25">
      <c r="B899">
        <v>8977</v>
      </c>
    </row>
    <row r="900" spans="2:2" x14ac:dyDescent="0.25">
      <c r="B900">
        <v>8987</v>
      </c>
    </row>
    <row r="901" spans="2:2" x14ac:dyDescent="0.25">
      <c r="B901">
        <v>8997</v>
      </c>
    </row>
    <row r="902" spans="2:2" x14ac:dyDescent="0.25">
      <c r="B902">
        <v>9007</v>
      </c>
    </row>
    <row r="903" spans="2:2" x14ac:dyDescent="0.25">
      <c r="B903">
        <v>9017</v>
      </c>
    </row>
    <row r="904" spans="2:2" x14ac:dyDescent="0.25">
      <c r="B904">
        <v>9027</v>
      </c>
    </row>
    <row r="905" spans="2:2" x14ac:dyDescent="0.25">
      <c r="B905">
        <v>9037</v>
      </c>
    </row>
    <row r="906" spans="2:2" x14ac:dyDescent="0.25">
      <c r="B906">
        <v>9047</v>
      </c>
    </row>
    <row r="907" spans="2:2" x14ac:dyDescent="0.25">
      <c r="B907">
        <v>9057</v>
      </c>
    </row>
    <row r="908" spans="2:2" x14ac:dyDescent="0.25">
      <c r="B908">
        <v>9067</v>
      </c>
    </row>
    <row r="909" spans="2:2" x14ac:dyDescent="0.25">
      <c r="B909">
        <v>9077</v>
      </c>
    </row>
    <row r="910" spans="2:2" x14ac:dyDescent="0.25">
      <c r="B910">
        <v>9087</v>
      </c>
    </row>
    <row r="911" spans="2:2" x14ac:dyDescent="0.25">
      <c r="B911">
        <v>9097</v>
      </c>
    </row>
    <row r="912" spans="2:2" x14ac:dyDescent="0.25">
      <c r="B912">
        <v>9107</v>
      </c>
    </row>
    <row r="913" spans="2:2" x14ac:dyDescent="0.25">
      <c r="B913">
        <v>9117</v>
      </c>
    </row>
    <row r="914" spans="2:2" x14ac:dyDescent="0.25">
      <c r="B914">
        <v>9127</v>
      </c>
    </row>
    <row r="915" spans="2:2" x14ac:dyDescent="0.25">
      <c r="B915">
        <v>9137</v>
      </c>
    </row>
    <row r="916" spans="2:2" x14ac:dyDescent="0.25">
      <c r="B916">
        <v>9147</v>
      </c>
    </row>
    <row r="917" spans="2:2" x14ac:dyDescent="0.25">
      <c r="B917">
        <v>9157</v>
      </c>
    </row>
    <row r="918" spans="2:2" x14ac:dyDescent="0.25">
      <c r="B918">
        <v>9167</v>
      </c>
    </row>
    <row r="919" spans="2:2" x14ac:dyDescent="0.25">
      <c r="B919">
        <v>9177</v>
      </c>
    </row>
    <row r="920" spans="2:2" x14ac:dyDescent="0.25">
      <c r="B920">
        <v>9187</v>
      </c>
    </row>
    <row r="921" spans="2:2" x14ac:dyDescent="0.25">
      <c r="B921">
        <v>9197</v>
      </c>
    </row>
    <row r="922" spans="2:2" x14ac:dyDescent="0.25">
      <c r="B922">
        <v>9207</v>
      </c>
    </row>
    <row r="923" spans="2:2" x14ac:dyDescent="0.25">
      <c r="B923">
        <v>9217</v>
      </c>
    </row>
    <row r="924" spans="2:2" x14ac:dyDescent="0.25">
      <c r="B924">
        <v>9227</v>
      </c>
    </row>
    <row r="925" spans="2:2" x14ac:dyDescent="0.25">
      <c r="B925">
        <v>9237</v>
      </c>
    </row>
    <row r="926" spans="2:2" x14ac:dyDescent="0.25">
      <c r="B926">
        <v>9247</v>
      </c>
    </row>
    <row r="927" spans="2:2" x14ac:dyDescent="0.25">
      <c r="B927">
        <v>9257</v>
      </c>
    </row>
    <row r="928" spans="2:2" x14ac:dyDescent="0.25">
      <c r="B928">
        <v>9267</v>
      </c>
    </row>
    <row r="929" spans="2:2" x14ac:dyDescent="0.25">
      <c r="B929">
        <v>9277</v>
      </c>
    </row>
    <row r="930" spans="2:2" x14ac:dyDescent="0.25">
      <c r="B930">
        <v>9287</v>
      </c>
    </row>
    <row r="931" spans="2:2" x14ac:dyDescent="0.25">
      <c r="B931">
        <v>9297</v>
      </c>
    </row>
    <row r="932" spans="2:2" x14ac:dyDescent="0.25">
      <c r="B932">
        <v>9307</v>
      </c>
    </row>
    <row r="933" spans="2:2" x14ac:dyDescent="0.25">
      <c r="B933">
        <v>9317</v>
      </c>
    </row>
    <row r="934" spans="2:2" x14ac:dyDescent="0.25">
      <c r="B934">
        <v>9327</v>
      </c>
    </row>
    <row r="935" spans="2:2" x14ac:dyDescent="0.25">
      <c r="B935">
        <v>9337</v>
      </c>
    </row>
    <row r="936" spans="2:2" x14ac:dyDescent="0.25">
      <c r="B936">
        <v>9347</v>
      </c>
    </row>
    <row r="937" spans="2:2" x14ac:dyDescent="0.25">
      <c r="B937">
        <v>9357</v>
      </c>
    </row>
    <row r="938" spans="2:2" x14ac:dyDescent="0.25">
      <c r="B938">
        <v>9367</v>
      </c>
    </row>
    <row r="939" spans="2:2" x14ac:dyDescent="0.25">
      <c r="B939">
        <v>9377</v>
      </c>
    </row>
    <row r="940" spans="2:2" x14ac:dyDescent="0.25">
      <c r="B940">
        <v>9387</v>
      </c>
    </row>
    <row r="941" spans="2:2" x14ac:dyDescent="0.25">
      <c r="B941">
        <v>9397</v>
      </c>
    </row>
    <row r="942" spans="2:2" x14ac:dyDescent="0.25">
      <c r="B942">
        <v>9407</v>
      </c>
    </row>
    <row r="943" spans="2:2" x14ac:dyDescent="0.25">
      <c r="B943">
        <v>9417</v>
      </c>
    </row>
    <row r="944" spans="2:2" x14ac:dyDescent="0.25">
      <c r="B944">
        <v>9427</v>
      </c>
    </row>
    <row r="945" spans="2:2" x14ac:dyDescent="0.25">
      <c r="B945">
        <v>9437</v>
      </c>
    </row>
    <row r="946" spans="2:2" x14ac:dyDescent="0.25">
      <c r="B946">
        <v>9447</v>
      </c>
    </row>
    <row r="947" spans="2:2" x14ac:dyDescent="0.25">
      <c r="B947">
        <v>9457</v>
      </c>
    </row>
    <row r="948" spans="2:2" x14ac:dyDescent="0.25">
      <c r="B948">
        <v>9467</v>
      </c>
    </row>
    <row r="949" spans="2:2" x14ac:dyDescent="0.25">
      <c r="B949">
        <v>9477</v>
      </c>
    </row>
    <row r="950" spans="2:2" x14ac:dyDescent="0.25">
      <c r="B950">
        <v>9487</v>
      </c>
    </row>
    <row r="951" spans="2:2" x14ac:dyDescent="0.25">
      <c r="B951">
        <v>9497</v>
      </c>
    </row>
    <row r="952" spans="2:2" x14ac:dyDescent="0.25">
      <c r="B952">
        <v>9507</v>
      </c>
    </row>
    <row r="953" spans="2:2" x14ac:dyDescent="0.25">
      <c r="B953">
        <v>9517</v>
      </c>
    </row>
    <row r="954" spans="2:2" x14ac:dyDescent="0.25">
      <c r="B954">
        <v>9527</v>
      </c>
    </row>
    <row r="955" spans="2:2" x14ac:dyDescent="0.25">
      <c r="B955">
        <v>9537</v>
      </c>
    </row>
    <row r="956" spans="2:2" x14ac:dyDescent="0.25">
      <c r="B956">
        <v>9547</v>
      </c>
    </row>
    <row r="957" spans="2:2" x14ac:dyDescent="0.25">
      <c r="B957">
        <v>9557</v>
      </c>
    </row>
    <row r="958" spans="2:2" x14ac:dyDescent="0.25">
      <c r="B958">
        <v>9567</v>
      </c>
    </row>
    <row r="959" spans="2:2" x14ac:dyDescent="0.25">
      <c r="B959">
        <v>9577</v>
      </c>
    </row>
    <row r="960" spans="2:2" x14ac:dyDescent="0.25">
      <c r="B960">
        <v>9587</v>
      </c>
    </row>
    <row r="961" spans="2:2" x14ac:dyDescent="0.25">
      <c r="B961">
        <v>9597</v>
      </c>
    </row>
    <row r="962" spans="2:2" x14ac:dyDescent="0.25">
      <c r="B962">
        <v>9607</v>
      </c>
    </row>
    <row r="963" spans="2:2" x14ac:dyDescent="0.25">
      <c r="B963">
        <v>9617</v>
      </c>
    </row>
    <row r="964" spans="2:2" x14ac:dyDescent="0.25">
      <c r="B964">
        <v>9627</v>
      </c>
    </row>
    <row r="965" spans="2:2" x14ac:dyDescent="0.25">
      <c r="B965">
        <v>9637</v>
      </c>
    </row>
    <row r="966" spans="2:2" x14ac:dyDescent="0.25">
      <c r="B966">
        <v>9647</v>
      </c>
    </row>
    <row r="967" spans="2:2" x14ac:dyDescent="0.25">
      <c r="B967">
        <v>9657</v>
      </c>
    </row>
    <row r="968" spans="2:2" x14ac:dyDescent="0.25">
      <c r="B968">
        <v>9667</v>
      </c>
    </row>
    <row r="969" spans="2:2" x14ac:dyDescent="0.25">
      <c r="B969">
        <v>9677</v>
      </c>
    </row>
    <row r="970" spans="2:2" x14ac:dyDescent="0.25">
      <c r="B970">
        <v>9687</v>
      </c>
    </row>
    <row r="971" spans="2:2" x14ac:dyDescent="0.25">
      <c r="B971">
        <v>9697</v>
      </c>
    </row>
    <row r="972" spans="2:2" x14ac:dyDescent="0.25">
      <c r="B972">
        <v>9707</v>
      </c>
    </row>
    <row r="973" spans="2:2" x14ac:dyDescent="0.25">
      <c r="B973">
        <v>9717</v>
      </c>
    </row>
    <row r="974" spans="2:2" x14ac:dyDescent="0.25">
      <c r="B974">
        <v>9727</v>
      </c>
    </row>
    <row r="975" spans="2:2" x14ac:dyDescent="0.25">
      <c r="B975">
        <v>9737</v>
      </c>
    </row>
    <row r="976" spans="2:2" x14ac:dyDescent="0.25">
      <c r="B976">
        <v>9747</v>
      </c>
    </row>
    <row r="977" spans="2:2" x14ac:dyDescent="0.25">
      <c r="B977">
        <v>9757</v>
      </c>
    </row>
    <row r="978" spans="2:2" x14ac:dyDescent="0.25">
      <c r="B978">
        <v>9767</v>
      </c>
    </row>
    <row r="979" spans="2:2" x14ac:dyDescent="0.25">
      <c r="B979">
        <v>9777</v>
      </c>
    </row>
    <row r="980" spans="2:2" x14ac:dyDescent="0.25">
      <c r="B980">
        <v>9787</v>
      </c>
    </row>
    <row r="981" spans="2:2" x14ac:dyDescent="0.25">
      <c r="B981">
        <v>9797</v>
      </c>
    </row>
    <row r="982" spans="2:2" x14ac:dyDescent="0.25">
      <c r="B982">
        <v>9807</v>
      </c>
    </row>
    <row r="983" spans="2:2" x14ac:dyDescent="0.25">
      <c r="B983">
        <v>9817</v>
      </c>
    </row>
    <row r="984" spans="2:2" x14ac:dyDescent="0.25">
      <c r="B984">
        <v>9827</v>
      </c>
    </row>
    <row r="985" spans="2:2" x14ac:dyDescent="0.25">
      <c r="B985">
        <v>9837</v>
      </c>
    </row>
    <row r="986" spans="2:2" x14ac:dyDescent="0.25">
      <c r="B986">
        <v>9847</v>
      </c>
    </row>
    <row r="987" spans="2:2" x14ac:dyDescent="0.25">
      <c r="B987">
        <v>9857</v>
      </c>
    </row>
    <row r="988" spans="2:2" x14ac:dyDescent="0.25">
      <c r="B988">
        <v>9867</v>
      </c>
    </row>
    <row r="989" spans="2:2" x14ac:dyDescent="0.25">
      <c r="B989">
        <v>9877</v>
      </c>
    </row>
    <row r="990" spans="2:2" x14ac:dyDescent="0.25">
      <c r="B990">
        <v>9887</v>
      </c>
    </row>
    <row r="991" spans="2:2" x14ac:dyDescent="0.25">
      <c r="B991">
        <v>9897</v>
      </c>
    </row>
    <row r="992" spans="2:2" x14ac:dyDescent="0.25">
      <c r="B992">
        <v>9907</v>
      </c>
    </row>
    <row r="993" spans="2:2" x14ac:dyDescent="0.25">
      <c r="B993">
        <v>9917</v>
      </c>
    </row>
    <row r="994" spans="2:2" x14ac:dyDescent="0.25">
      <c r="B994">
        <v>9927</v>
      </c>
    </row>
    <row r="995" spans="2:2" x14ac:dyDescent="0.25">
      <c r="B995">
        <v>9937</v>
      </c>
    </row>
    <row r="996" spans="2:2" x14ac:dyDescent="0.25">
      <c r="B996">
        <v>9947</v>
      </c>
    </row>
    <row r="997" spans="2:2" x14ac:dyDescent="0.25">
      <c r="B997">
        <v>9957</v>
      </c>
    </row>
    <row r="998" spans="2:2" x14ac:dyDescent="0.25">
      <c r="B998">
        <v>9967</v>
      </c>
    </row>
    <row r="999" spans="2:2" x14ac:dyDescent="0.25">
      <c r="B999">
        <v>9977</v>
      </c>
    </row>
    <row r="1000" spans="2:2" x14ac:dyDescent="0.25">
      <c r="B1000">
        <v>9987</v>
      </c>
    </row>
    <row r="1001" spans="2:2" x14ac:dyDescent="0.25">
      <c r="B1001">
        <v>9997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B078-C966-49C6-ACC9-C72DFC69819D}">
  <dimension ref="A1:G6"/>
  <sheetViews>
    <sheetView tabSelected="1" workbookViewId="0">
      <selection activeCell="F14" sqref="F14"/>
    </sheetView>
  </sheetViews>
  <sheetFormatPr defaultRowHeight="15" x14ac:dyDescent="0.25"/>
  <cols>
    <col min="1" max="1" width="15.140625" bestFit="1" customWidth="1"/>
    <col min="2" max="5" width="16.7109375" customWidth="1"/>
    <col min="11" max="11" width="14.5703125" bestFit="1" customWidth="1"/>
    <col min="12" max="12" width="13.42578125" bestFit="1" customWidth="1"/>
    <col min="13" max="13" width="13.7109375" bestFit="1" customWidth="1"/>
  </cols>
  <sheetData>
    <row r="1" spans="1:7" x14ac:dyDescent="0.25">
      <c r="B1" s="17" t="s">
        <v>58</v>
      </c>
      <c r="C1" s="17" t="s">
        <v>57</v>
      </c>
      <c r="D1" s="17" t="s">
        <v>56</v>
      </c>
      <c r="E1" s="17" t="s">
        <v>59</v>
      </c>
    </row>
    <row r="2" spans="1:7" x14ac:dyDescent="0.25">
      <c r="A2" s="15" t="s">
        <v>52</v>
      </c>
      <c r="B2" s="19">
        <f>CORREL(Class_Mode_Bridge!$C$2:$C$251, Class_Mode_Bridge!$G$2:$G$251)</f>
        <v>-0.10922778872841549</v>
      </c>
      <c r="C2" s="20">
        <f>CORREL(Class_Mode_Bridge!$C$2:$C$251, Class_Mode_Bridge!$H$2:$H$251)</f>
        <v>7.8022779990660096E-2</v>
      </c>
      <c r="D2" s="20">
        <f>CORREL(Class_Mode_Bridge!$C$2:$C$251, Class_Mode_Bridge!$I$2:$I$251)</f>
        <v>9.5195543978648225E-2</v>
      </c>
      <c r="E2" s="21">
        <f>CORREL(Class_Mode_Bridge!$C$2:$C$251, Class_Mode_Bridge!$J$2:$J$251)</f>
        <v>-9.7035835999329564E-2</v>
      </c>
      <c r="F2" s="16"/>
      <c r="G2" s="27"/>
    </row>
    <row r="3" spans="1:7" x14ac:dyDescent="0.25">
      <c r="A3" s="15" t="s">
        <v>53</v>
      </c>
      <c r="B3" s="22">
        <f>CORREL(Class_Mode_Bridge!$D$2:$D$251, Class_Mode_Bridge!$G$2:$G$251)</f>
        <v>0.29016326805605624</v>
      </c>
      <c r="C3" s="18">
        <f>CORREL(Class_Mode_Bridge!$D$2:$D$251, Class_Mode_Bridge!$H$2:$H$251)</f>
        <v>-0.14510812581734289</v>
      </c>
      <c r="D3" s="18">
        <f>CORREL(Class_Mode_Bridge!$D$2:$D$251, Class_Mode_Bridge!$I$2:$I$251)</f>
        <v>-0.22629215556120177</v>
      </c>
      <c r="E3" s="23">
        <f>CORREL(Class_Mode_Bridge!$D$2:$D$251, Class_Mode_Bridge!$J$2:$J$251)</f>
        <v>6.7493613471246378E-3</v>
      </c>
      <c r="F3" s="16"/>
      <c r="G3" s="27"/>
    </row>
    <row r="4" spans="1:7" x14ac:dyDescent="0.25">
      <c r="A4" s="15" t="s">
        <v>54</v>
      </c>
      <c r="B4" s="22">
        <f>CORREL(Class_Mode_Bridge!$E$2:$E$251, Class_Mode_Bridge!$G$2:$G$251)</f>
        <v>1.3698772423724736E-2</v>
      </c>
      <c r="C4" s="18">
        <f>CORREL(Class_Mode_Bridge!$E$2:$E$251, Class_Mode_Bridge!$H$2:$H$251)</f>
        <v>6.9896673391694517E-2</v>
      </c>
      <c r="D4" s="18">
        <f>CORREL(Class_Mode_Bridge!$E$2:$E$251, Class_Mode_Bridge!$I$2:$I$251)</f>
        <v>-0.12636670434353167</v>
      </c>
      <c r="E4" s="23">
        <f>CORREL(Class_Mode_Bridge!$E$2:$E$251, Class_Mode_Bridge!$J$2:$J$251)</f>
        <v>0.1194941957655371</v>
      </c>
      <c r="F4" s="16"/>
      <c r="G4" s="27"/>
    </row>
    <row r="5" spans="1:7" x14ac:dyDescent="0.25">
      <c r="A5" s="15" t="s">
        <v>55</v>
      </c>
      <c r="B5" s="24">
        <f>CORREL(Class_Mode_Bridge!$F$2:$F$251, Class_Mode_Bridge!$G$2:$G$251)</f>
        <v>-0.16446002259558282</v>
      </c>
      <c r="C5" s="25">
        <f>CORREL(Class_Mode_Bridge!$F$2:$F$251, Class_Mode_Bridge!$H$2:$H$251)</f>
        <v>-2.1352294174138728E-3</v>
      </c>
      <c r="D5" s="25">
        <f>CORREL(Class_Mode_Bridge!$F$2:$F$251, Class_Mode_Bridge!$I$2:$I$251)</f>
        <v>0.21651132832622977</v>
      </c>
      <c r="E5" s="26">
        <f>CORREL(Class_Mode_Bridge!$F$2:$F$251, Class_Mode_Bridge!$J$2:$J$251)</f>
        <v>-2.2355720036477233E-2</v>
      </c>
      <c r="F5" s="16"/>
      <c r="G5" s="27"/>
    </row>
    <row r="6" spans="1:7" x14ac:dyDescent="0.25">
      <c r="B6" s="16"/>
      <c r="C6" s="16"/>
      <c r="D6" s="16"/>
      <c r="E6" s="16"/>
      <c r="F6" s="16"/>
      <c r="G6" s="27"/>
    </row>
  </sheetData>
  <conditionalFormatting sqref="B2:E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Player_Class_Profile</vt:lpstr>
      <vt:lpstr>Player_Mode_Profile</vt:lpstr>
      <vt:lpstr>Class_Mode_Bridge</vt:lpstr>
      <vt:lpstr>Correlation_Matrix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Aristotle Polites</dc:creator>
  <cp:lastModifiedBy>Aristotle Polites</cp:lastModifiedBy>
  <dcterms:created xsi:type="dcterms:W3CDTF">2026-02-03T21:04:22Z</dcterms:created>
  <dcterms:modified xsi:type="dcterms:W3CDTF">2026-02-17T19:32:55Z</dcterms:modified>
</cp:coreProperties>
</file>